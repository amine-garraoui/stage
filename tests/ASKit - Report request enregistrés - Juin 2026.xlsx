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g551053\Downloads\ASKit - Report request enregistrés(29).csv\"/>
    </mc:Choice>
  </mc:AlternateContent>
  <xr:revisionPtr revIDLastSave="0" documentId="13_ncr:1_{4F56B78F-83DC-49D8-A9AA-9937DAD2981C}" xr6:coauthVersionLast="47" xr6:coauthVersionMax="47" xr10:uidLastSave="{00000000-0000-0000-0000-000000000000}"/>
  <bookViews>
    <workbookView xWindow="28680" yWindow="-120" windowWidth="29040" windowHeight="15720" xr2:uid="{00000000-000D-0000-FFFF-FFFF00000000}"/>
  </bookViews>
  <sheets>
    <sheet name="TDB" sheetId="1" r:id="rId1"/>
    <sheet name="tickets ouverts" sheetId="2" r:id="rId2"/>
    <sheet name="tickets fermés" sheetId="3" r:id="rId3"/>
    <sheet name="Askit -SST KRM enquête" sheetId="4" r:id="rId4"/>
  </sheets>
  <definedNames>
    <definedName name="_xlnm._FilterDatabase" localSheetId="3" hidden="1">'Askit -SST KRM enquête'!$A$1:$J$47</definedName>
    <definedName name="_xlnm._FilterDatabase" localSheetId="2" hidden="1">'tickets fermés'!$A$1:$T$232</definedName>
    <definedName name="_xlnm._FilterDatabase" localSheetId="1" hidden="1">'tickets ouverts'!$A$1:$V$278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 l="1" a="1"/>
  <c r="B48" i="1" s="1"/>
  <c r="C31" i="1"/>
  <c r="C20" i="1"/>
  <c r="C86" i="1" l="1"/>
  <c r="C78" i="1"/>
  <c r="C87" i="1"/>
  <c r="C85" i="1"/>
  <c r="C84" i="1"/>
  <c r="C83" i="1"/>
  <c r="C82" i="1"/>
  <c r="C81" i="1"/>
  <c r="C80" i="1"/>
  <c r="C79" i="1"/>
  <c r="E119" i="1" a="1"/>
  <c r="E119" i="1" l="1"/>
  <c r="D124" i="1" a="1"/>
  <c r="D124" i="1" s="1"/>
  <c r="C48" i="1" l="1"/>
  <c r="C124" i="1" a="1"/>
  <c r="E124" i="1" a="1"/>
  <c r="E121" i="1" a="1"/>
  <c r="D121" i="1" a="1"/>
  <c r="D121" i="1" s="1"/>
  <c r="C121" i="1" a="1"/>
  <c r="C121" i="1" s="1"/>
  <c r="D119" i="1" a="1"/>
  <c r="D119" i="1" s="1"/>
  <c r="C119" i="1" a="1"/>
  <c r="C119" i="1" s="1"/>
  <c r="C99" i="1"/>
  <c r="G94" i="1"/>
  <c r="F94" i="1"/>
  <c r="E94" i="1"/>
  <c r="D94" i="1"/>
  <c r="C94" i="1"/>
  <c r="G93" i="1"/>
  <c r="F93" i="1"/>
  <c r="E93" i="1"/>
  <c r="D93" i="1"/>
  <c r="C93" i="1"/>
  <c r="G92" i="1"/>
  <c r="F92" i="1"/>
  <c r="E92" i="1"/>
  <c r="D92" i="1"/>
  <c r="C92" i="1"/>
  <c r="C6" i="1"/>
  <c r="E124" i="1" l="1"/>
  <c r="E121" i="1"/>
  <c r="C124" i="1"/>
  <c r="C66" i="1"/>
  <c r="C54" i="1"/>
  <c r="C77" i="1"/>
  <c r="C65" i="1"/>
  <c r="C53" i="1"/>
  <c r="C56" i="1"/>
  <c r="C76" i="1"/>
  <c r="C64" i="1"/>
  <c r="C52" i="1"/>
  <c r="C71" i="1"/>
  <c r="C59" i="1"/>
  <c r="C69" i="1"/>
  <c r="C67" i="1"/>
  <c r="C75" i="1"/>
  <c r="C63" i="1"/>
  <c r="C51" i="1"/>
  <c r="C58" i="1"/>
  <c r="C55" i="1"/>
  <c r="C74" i="1"/>
  <c r="C62" i="1"/>
  <c r="C50" i="1"/>
  <c r="C72" i="1"/>
  <c r="C60" i="1"/>
  <c r="C70" i="1"/>
  <c r="C57" i="1"/>
  <c r="C68" i="1"/>
  <c r="C73" i="1"/>
  <c r="C61" i="1"/>
  <c r="C49" i="1"/>
  <c r="C21" i="1"/>
  <c r="C33" i="1"/>
  <c r="C32" i="1"/>
  <c r="C30" i="1"/>
  <c r="C29" i="1"/>
  <c r="C28" i="1"/>
  <c r="C27" i="1"/>
  <c r="C26" i="1"/>
  <c r="C25" i="1"/>
  <c r="C22" i="1"/>
  <c r="C5" i="1"/>
  <c r="C98" i="1" s="1"/>
  <c r="C3" i="1"/>
  <c r="C100" i="1" l="1"/>
  <c r="C95" i="1"/>
  <c r="G95" i="1"/>
  <c r="E95" i="1"/>
  <c r="D95" i="1"/>
  <c r="F9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<sst xmlns="http://schemas.openxmlformats.org/spreadsheetml/2006/main" count="8898" uniqueCount="1422">
  <si>
    <t>Nbr des demandes ouvertes sur le mois</t>
  </si>
  <si>
    <t xml:space="preserve">Nbr des demandes ouvertes et traitées sur le mois </t>
  </si>
  <si>
    <t xml:space="preserve">Nbr des demandes globales Traitées sur le mois </t>
  </si>
  <si>
    <t xml:space="preserve">Délai moyen de traitement des tickets ( min ) </t>
  </si>
  <si>
    <t xml:space="preserve">Megrine </t>
  </si>
  <si>
    <t xml:space="preserve">Kram </t>
  </si>
  <si>
    <t>Sousse</t>
  </si>
  <si>
    <t>Megrine / AVS</t>
  </si>
  <si>
    <t>Megrine / BBS</t>
  </si>
  <si>
    <t>Megrine / E&amp;T</t>
  </si>
  <si>
    <t>Megrine / supports</t>
  </si>
  <si>
    <t>kram / E&amp;T</t>
  </si>
  <si>
    <t>kram / supports</t>
  </si>
  <si>
    <t>Sousse / E&amp;T</t>
  </si>
  <si>
    <t>Sousse / supports</t>
  </si>
  <si>
    <t>types des demandes ouvertes dans le mois</t>
  </si>
  <si>
    <t xml:space="preserve">très insatisfait </t>
  </si>
  <si>
    <t>Plutôt insatisfait</t>
  </si>
  <si>
    <t>insatisfait </t>
  </si>
  <si>
    <t>Satisfait </t>
  </si>
  <si>
    <t>très satisfait</t>
  </si>
  <si>
    <t>Satisfaction de traitement</t>
  </si>
  <si>
    <t>Communication des opérateurs</t>
  </si>
  <si>
    <t>Satisfaction du temps de traitement</t>
  </si>
  <si>
    <t xml:space="preserve">taux de satisfaction </t>
  </si>
  <si>
    <t xml:space="preserve">nombre de participants </t>
  </si>
  <si>
    <t>taux de participation</t>
  </si>
  <si>
    <t>Les rubriques les moins satisfaisantes</t>
  </si>
  <si>
    <t>très insatisfait</t>
  </si>
  <si>
    <t>plutôt insatisfait</t>
  </si>
  <si>
    <t>insatisfait</t>
  </si>
  <si>
    <t>Communication de l'opérateur</t>
  </si>
  <si>
    <t>temps de résolution</t>
  </si>
  <si>
    <t>N° ticket</t>
  </si>
  <si>
    <t>Bénéficiaire</t>
  </si>
  <si>
    <t>Bénéficiaire ID</t>
  </si>
  <si>
    <t>Directeur</t>
  </si>
  <si>
    <t xml:space="preserve">département </t>
  </si>
  <si>
    <t>Bénéficiaire : Localisation</t>
  </si>
  <si>
    <t>Enregistré le</t>
  </si>
  <si>
    <t>Date de résolution</t>
  </si>
  <si>
    <t>Sujet</t>
  </si>
  <si>
    <t>Priorité</t>
  </si>
  <si>
    <t>E_REPONSES</t>
  </si>
  <si>
    <t>Description</t>
  </si>
  <si>
    <t>Bénéficiaire : Niveau de VIP</t>
  </si>
  <si>
    <t>GROUP_$lng</t>
  </si>
  <si>
    <t>Groupe courant</t>
  </si>
  <si>
    <t>Résolu par (groupe)</t>
  </si>
  <si>
    <t>Résolu par (intervenant)</t>
  </si>
  <si>
    <t>Meta Statut</t>
  </si>
  <si>
    <t>Délai de résolution (min)</t>
  </si>
  <si>
    <t>Statut ticket</t>
  </si>
  <si>
    <t>Workflow</t>
  </si>
  <si>
    <t>supports</t>
  </si>
  <si>
    <t>Tunisie/Megrine</t>
  </si>
  <si>
    <t>Messagerie individuelle</t>
  </si>
  <si>
    <t>1 x Messagerie individuelle : 0 EURAction : CréationMessagerie pour filiales GIS africaines : Non</t>
  </si>
  <si>
    <t>G_IT_HELP_DESK</t>
  </si>
  <si>
    <t>SOARE, Adriana</t>
  </si>
  <si>
    <t>Terminé</t>
  </si>
  <si>
    <t>Clôturé</t>
  </si>
  <si>
    <t>WF_REQ_GENERIC_V6.1</t>
  </si>
  <si>
    <t>Groupes AD</t>
  </si>
  <si>
    <t xml:space="preserve">
Bonjour,
Le groupe a été ajouté.
Merci de patienter le temps de synchronisation 2-4h.
Cordialement,</t>
  </si>
  <si>
    <t>MAFTEI, Anastasia</t>
  </si>
  <si>
    <t>E&amp;T</t>
  </si>
  <si>
    <t>Tunisie/Sousse</t>
  </si>
  <si>
    <t>THELJAOUI, Mohamed</t>
  </si>
  <si>
    <t>G361247</t>
  </si>
  <si>
    <t>Demande de certificat / Keytab</t>
  </si>
  <si>
    <t>G_IT_INFRA_BLB</t>
  </si>
  <si>
    <t>BBS</t>
  </si>
  <si>
    <t>Licence Github Copilot (Code Assist)</t>
  </si>
  <si>
    <t>LUNCASU, Sabina</t>
  </si>
  <si>
    <t>AVS</t>
  </si>
  <si>
    <t>Tunisie/Kram</t>
  </si>
  <si>
    <t>PC accessoires</t>
  </si>
  <si>
    <t>G_IT_DESKTOP_SST</t>
  </si>
  <si>
    <t>G_IT_DESKTOP_QSO</t>
  </si>
  <si>
    <t>MFARREJ, Yosri</t>
  </si>
  <si>
    <t>G_IT_DESKTOP_KRM</t>
  </si>
  <si>
    <t>En attente</t>
  </si>
  <si>
    <t>Suspendu</t>
  </si>
  <si>
    <t>Accès Distant Sagemcom</t>
  </si>
  <si>
    <t>1 x Accès Distant Sagemcom : 0 EURChoix de l'OS : Windows</t>
  </si>
  <si>
    <t>G_IT_NETWORK_PEGASE</t>
  </si>
  <si>
    <t>BRAHMI, Rachid</t>
  </si>
  <si>
    <t>PC Laptop</t>
  </si>
  <si>
    <t>GARRAWI, Sana</t>
  </si>
  <si>
    <t>DRIDI, Rimeh</t>
  </si>
  <si>
    <t>G_IT_INFRA_SST</t>
  </si>
  <si>
    <t>En cours de traitement</t>
  </si>
  <si>
    <t>PC Desktop</t>
  </si>
  <si>
    <t>BOUFAHJA, Kamel</t>
  </si>
  <si>
    <t>Sauvegarde Commvault Edge Monitor</t>
  </si>
  <si>
    <t>1 x Sauvegarde Commvault Edge Monitor : 0 EUR</t>
  </si>
  <si>
    <t>Gestion des flux</t>
  </si>
  <si>
    <t>G_IT_SECURITY</t>
  </si>
  <si>
    <t>Masterisation d'un poste</t>
  </si>
  <si>
    <t>Serveur</t>
  </si>
  <si>
    <t>WF_REQ_IT_SERVER_FOR_APPS_V13+ETL</t>
  </si>
  <si>
    <t>G_IT_NETWORK_ADSL</t>
  </si>
  <si>
    <t>ADOUKA, Mohamed</t>
  </si>
  <si>
    <t>GAUTREAU, Fabien</t>
  </si>
  <si>
    <t>G_IT_NETWORK_BLB</t>
  </si>
  <si>
    <t>OGRYZEK, Damien</t>
  </si>
  <si>
    <t>CHIHAOUI, Aymen</t>
  </si>
  <si>
    <t>Traitée</t>
  </si>
  <si>
    <t>Installation réseau ou téléphone fixe</t>
  </si>
  <si>
    <t>G_IT_NETWORK_KRM</t>
  </si>
  <si>
    <t>GHAZOUANI, Hachem</t>
  </si>
  <si>
    <t>Demande informatique hors catalogue</t>
  </si>
  <si>
    <t>Imprimantes &amp; copieurs</t>
  </si>
  <si>
    <t>1 x Imprimantes &amp; copieurs : 0 EUR</t>
  </si>
  <si>
    <t xml:space="preserve">
BonjourDemande traitéeCdtSANA</t>
  </si>
  <si>
    <t>WF_REQ_DESKTOP_TUN_FOR_APPS_V6</t>
  </si>
  <si>
    <t>En cours</t>
  </si>
  <si>
    <t>Prêt matériel informatique</t>
  </si>
  <si>
    <t>G_IT_NETWORK_SST</t>
  </si>
  <si>
    <t>BENALI, Wiem</t>
  </si>
  <si>
    <t>Hub USB</t>
  </si>
  <si>
    <t>1 x Hub USB : 18 EURNombre de ports : 4 Centre de coût : S250300</t>
  </si>
  <si>
    <t>Souris</t>
  </si>
  <si>
    <t>1 x Souris : 0 EUR1 x Souris filaire : 9.43 EURCentre de coût : S250200</t>
  </si>
  <si>
    <t xml:space="preserve">
bonjoursouris est disponiblecordialement</t>
  </si>
  <si>
    <t>G_IT_SC_ASKIT</t>
  </si>
  <si>
    <t>Redirigé</t>
  </si>
  <si>
    <t>Accès PMAD</t>
  </si>
  <si>
    <t>1 x Accès PMAD : 0 EURType de PMAD : Cygnus :  Bastion administration vers les équipements hors Sagemcom (réseaux de test, cloud, partenaire ...)</t>
  </si>
  <si>
    <t>MELENOTTE, Philippe</t>
  </si>
  <si>
    <t>1 x Souris : 0 EUR1 x Souris sans fil : 12.65 EURCentre de coût : S250300</t>
  </si>
  <si>
    <t xml:space="preserve">
Bonjour Demande traité cdt</t>
  </si>
  <si>
    <t>1 x Souris : 0 EUR1 x Souris filaire : 9.43 EURCentre de coût : S250300</t>
  </si>
  <si>
    <t>Acces OTP</t>
  </si>
  <si>
    <t>1 x Acces OTP : 0 EUR</t>
  </si>
  <si>
    <t>1 x Accès Distant Sagemcom : 0 EURChoix de l'OS : Linux</t>
  </si>
  <si>
    <t>G_IT_INFRA_KRM</t>
  </si>
  <si>
    <t>ALOUI, Yosra</t>
  </si>
  <si>
    <t>KAMBIRE, Ollo</t>
  </si>
  <si>
    <t>1 x Hub USB : 18 EURNombre de ports : 7Centre de coût : S250300</t>
  </si>
  <si>
    <t>LAMI, Vincent</t>
  </si>
  <si>
    <t>CHABBAH, Syrine</t>
  </si>
  <si>
    <t>G701208</t>
  </si>
  <si>
    <t>BEN BRAHIM, Oussama</t>
  </si>
  <si>
    <t>G361020</t>
  </si>
  <si>
    <t>G_DSSI</t>
  </si>
  <si>
    <t>POPEA, Ionel</t>
  </si>
  <si>
    <t>SGHAIER, Louay</t>
  </si>
  <si>
    <t>G800563</t>
  </si>
  <si>
    <t>Accès à un partage réseau</t>
  </si>
  <si>
    <t>BEN MAHMOUD, Arij</t>
  </si>
  <si>
    <t>G551106</t>
  </si>
  <si>
    <t>BOUHADANA, David</t>
  </si>
  <si>
    <t>Configuration Iphone</t>
  </si>
  <si>
    <t>1 x Configuration Iphone : 0 EUR</t>
  </si>
  <si>
    <t>G_IT_INFRA_O365</t>
  </si>
  <si>
    <t>G700678</t>
  </si>
  <si>
    <t xml:space="preserve">
BonjourVotre demande est disponibleCdtSANA</t>
  </si>
  <si>
    <t>Date de création</t>
  </si>
  <si>
    <t>Commentaire enquête</t>
  </si>
  <si>
    <t>MOCANU, Alina</t>
  </si>
  <si>
    <t>Messagerie - Bal de Services, diffusions</t>
  </si>
  <si>
    <t>MKADDEM, Oussama</t>
  </si>
  <si>
    <t>G701089</t>
  </si>
  <si>
    <t>MS Project</t>
  </si>
  <si>
    <t>1 x MS Project : 194 EUR</t>
  </si>
  <si>
    <t>HAMMOUDA, Imen</t>
  </si>
  <si>
    <t>G361243</t>
  </si>
  <si>
    <t>1 x Accès PMAD : 0 EURType de PMAD : Phoenix : Bastion administration partenaires/indus vers les équipements Sagemcom</t>
  </si>
  <si>
    <t>Refusée</t>
  </si>
  <si>
    <t>AHMANE, Hassan</t>
  </si>
  <si>
    <t>REJAB JRIJI, Helmi</t>
  </si>
  <si>
    <t>G801213</t>
  </si>
  <si>
    <t>SMAALI, Slim</t>
  </si>
  <si>
    <t>1 x Groupes AD : 0 EURAction : AffectationGroupe(s) : sst_scretd; SCOM-EPM-MediumFlex</t>
  </si>
  <si>
    <t>Adobe application</t>
  </si>
  <si>
    <t>1 x Adobe application : 0 EUR</t>
  </si>
  <si>
    <t>Droits Impression\imprimante couleur</t>
  </si>
  <si>
    <t xml:space="preserve">
bonjourcasque est disponiblecordialement</t>
  </si>
  <si>
    <t xml:space="preserve">
Bonjour,Demande est disponible, veuillez passer au bureau IT Cdt,</t>
  </si>
  <si>
    <t>OTHMANI, Mohamed Seddik</t>
  </si>
  <si>
    <t>G801204</t>
  </si>
  <si>
    <t xml:space="preserve">
Bonjour,        Le droit a été ajoute.        Merci d'attendre le temps de synchro, au moins 2-4 heures.        Cordialement</t>
  </si>
  <si>
    <t xml:space="preserve">
 @équipe IT : si le stock est épuisé,  merci de contacter BOURAOUI Samir pour lancer une demande d'achat
bonjourcasque est disponiblecordialement</t>
  </si>
  <si>
    <t>SEDDIKI, Marwa</t>
  </si>
  <si>
    <t>G573268</t>
  </si>
  <si>
    <t>MS Power BI</t>
  </si>
  <si>
    <t xml:space="preserve">
bonjoursac a dos est disponiblecordialement</t>
  </si>
  <si>
    <t>WF_REQ_IT_SERVER_FOR_APPS_V14</t>
  </si>
  <si>
    <t>JEMLI, Séjir</t>
  </si>
  <si>
    <t>G361758</t>
  </si>
  <si>
    <t xml:space="preserve">
Bonjour, La boîte  individuelle a été créée. Cependant, il faut attendre un délai de 24h-48h avant que celle-ci soit visible dans votre carnet d'adresse. Si passé ce délai, elle n'est toujours pas visible, nous vous invitons à rouvrir la demande. Cordialement, </t>
  </si>
  <si>
    <t>BOUAZIZ, Mohamed Naier</t>
  </si>
  <si>
    <t>G700308</t>
  </si>
  <si>
    <t>JAAFAR, Fatma</t>
  </si>
  <si>
    <t>CHAABANI, Achref</t>
  </si>
  <si>
    <t>G702103</t>
  </si>
  <si>
    <t>HERMI, Amal</t>
  </si>
  <si>
    <t>G507837</t>
  </si>
  <si>
    <t>CHARTON, Willy</t>
  </si>
  <si>
    <t>1 x Souris : 0 EUR1 x Souris filaire : 9.43 EURCentre de coût : S250202</t>
  </si>
  <si>
    <t>FANDOULI, Islem</t>
  </si>
  <si>
    <t>G361489</t>
  </si>
  <si>
    <t xml:space="preserve">
Bonjour,Demande bien traitéCordialement.</t>
  </si>
  <si>
    <t>ESSID, Oumayma</t>
  </si>
  <si>
    <t>G800678</t>
  </si>
  <si>
    <t>JAOUADI, Wassim</t>
  </si>
  <si>
    <t>G701244</t>
  </si>
  <si>
    <t>G_IT_VAL_SST</t>
  </si>
  <si>
    <t>GHIDHAOUI, Nada</t>
  </si>
  <si>
    <t>G800455</t>
  </si>
  <si>
    <t>Ligne ADSL / Fibre / Câble</t>
  </si>
  <si>
    <t>Compte de service</t>
  </si>
  <si>
    <t>LEHIOUI, Yassin Ismail</t>
  </si>
  <si>
    <t>G800612</t>
  </si>
  <si>
    <t>GOUTALI, Ghada</t>
  </si>
  <si>
    <t>G701944</t>
  </si>
  <si>
    <t>Demande d'entrée DNS</t>
  </si>
  <si>
    <t xml:space="preserve">
Accès créé</t>
  </si>
  <si>
    <t>GAIASSE, Mouna</t>
  </si>
  <si>
    <t>G573241</t>
  </si>
  <si>
    <t>BEN GHORBEL, Ferdaws</t>
  </si>
  <si>
    <t>G700735</t>
  </si>
  <si>
    <t>WF_INC_GENERIC_V14.1</t>
  </si>
  <si>
    <t>ABBAR, Ahcene</t>
  </si>
  <si>
    <t>Comptes GITIS</t>
  </si>
  <si>
    <t>BOUZIDI, Ines</t>
  </si>
  <si>
    <t>G800722</t>
  </si>
  <si>
    <t>1 x Accès PMAD : 0 EURType de PMAD : Orion : PMAD interne Sagemcom avec validation utilisateurs</t>
  </si>
  <si>
    <t>MISSAOUI, Fatma</t>
  </si>
  <si>
    <t>G801184</t>
  </si>
  <si>
    <t>ZOUARI, Melek</t>
  </si>
  <si>
    <t>G700108</t>
  </si>
  <si>
    <t>1 x Souris : 0 EUR1 x Souris filaire : 9.43 EURCentre de coût : S250201</t>
  </si>
  <si>
    <t xml:space="preserve">
Bonjour,Demande bien traitéCdt.</t>
  </si>
  <si>
    <t>G361305</t>
  </si>
  <si>
    <t>CHIHAOUI, Anis</t>
  </si>
  <si>
    <t>G360272</t>
  </si>
  <si>
    <t>1 x Accès à un partage réseau : 0 EURLien du partage : \\krm03002\InterfaceGitisDroits : Lecture/Ecriture</t>
  </si>
  <si>
    <t>TRABELSI, Khalil</t>
  </si>
  <si>
    <t>G701090</t>
  </si>
  <si>
    <t>CAROTINE, Thomas</t>
  </si>
  <si>
    <t>AMRI, Ahmed</t>
  </si>
  <si>
    <t>G801259</t>
  </si>
  <si>
    <t>BENNOUR, Adnen</t>
  </si>
  <si>
    <t>G702510</t>
  </si>
  <si>
    <t>MOUSSA, Rafika</t>
  </si>
  <si>
    <t>G701556</t>
  </si>
  <si>
    <t>HAMMAMI, Olfa</t>
  </si>
  <si>
    <t>G542991</t>
  </si>
  <si>
    <t>S260504_156</t>
  </si>
  <si>
    <t>1 x Serveur :   USD1 x Serveur :   USD Titre : suppression des vm Action : Décommissionnement Serveur non trouvé dans la liste ci-dessus : 1 Nom du serveur : SST13001.ADS.LOCAL ;KRM13001.ADS.LOCAL Date d'arrêt : 04/05/2026 Besoin d'une sauvegarde : Non Expression du besoin : vm Bonjourmerci de supprimer ces deux vmcdt</t>
  </si>
  <si>
    <t xml:space="preserve">
Je laisse Jamel géré le process et la sortie dans openaudit (Retired)
​suppresion des VMs Ok + désactivation des services SI
a {    text-decoration: none;    color: #464feb; }tr th, tr td {    border: 1px solid #e6e6e6; }tr th {    background-color: #f5f5f5; }a {    text-decoration: none;    color: #464feb; }tr th, tr td {    border: 1px solid #e6e6e6; }tr th {    background-color: #f5f5f5; }Arrêt de sauvegarde ok 
Sortie inventaire et PMAD
RAS sur IPAM et firewalls
RAS sur IPAM et firewalls
RAS sur IPAM et firewalls</t>
  </si>
  <si>
    <t>S260504_190</t>
  </si>
  <si>
    <t>CHEBBI, Mohamed</t>
  </si>
  <si>
    <t>G545453</t>
  </si>
  <si>
    <t>1 x PC Desktop : 0 USD1 x Desktop Dev. ++ : 2486 USD1 x Aucun écran :   USDType : Intégré au domaine SagemcomConfiguration : Configuration androidOS : Socle (Linux domaine sagemcom)Clavier : AZERTYCentre de coût : S250201Email de validation de son DIR pôle à joindre : Re Dell Pro Max Tower T2 ( U7  64GB + 3TB SSD ).msg</t>
  </si>
  <si>
    <t xml:space="preserve">
Bonjour,Demande bien traité,Desktop P1313541 OS : Socle 12Cordialement.</t>
  </si>
  <si>
    <t>S260504_215</t>
  </si>
  <si>
    <t>1 x PC Desktop : 0 USD1 x Desktop reconditionné :   USD1 x Aucun écran :   USDType : TestConfiguration : Configuration validationOS : WindowsClavier : AZERTYCentre de coût : S250200Email de validation de son DIR pôle à joindre : Capture d'écran 2026-05-04 154641.png</t>
  </si>
  <si>
    <t xml:space="preserve">
Bonjour, Ce modèle de desktop P1307074 ( optiplex 7020 ) n'est pas compatible avec windows 11,il faut que vous avoir l'accord de directeur pole BBS MASMOUDI Oussema pour obtenir un nouveau desktop compatible avec windows 11,Sinon, si cela vous convient, nous pouvons le migrer vers Ubuntu 24.04. Cordialement.</t>
  </si>
  <si>
    <t>DALAOUS, Wael</t>
  </si>
  <si>
    <t>G800394</t>
  </si>
  <si>
    <t xml:space="preserve">
Bonjour,  La modification a été faite. Cordialement,  </t>
  </si>
  <si>
    <t>HASNAOUI, Hiba</t>
  </si>
  <si>
    <t>G701540</t>
  </si>
  <si>
    <t>ALOUI, Rihem</t>
  </si>
  <si>
    <t>G701677</t>
  </si>
  <si>
    <t>MBRAEK, Bochra</t>
  </si>
  <si>
    <t>G800299</t>
  </si>
  <si>
    <t>SEBRI, Mohamed</t>
  </si>
  <si>
    <t>G800557</t>
  </si>
  <si>
    <t>RAHMENI, Amal</t>
  </si>
  <si>
    <t>G800535</t>
  </si>
  <si>
    <t>ASKit MAJ CMDB</t>
  </si>
  <si>
    <t>WF_CMDB_SERV_ASKIT</t>
  </si>
  <si>
    <t>SFAXI, Rabie</t>
  </si>
  <si>
    <t>G361001</t>
  </si>
  <si>
    <t>FERRER, Anthony</t>
  </si>
  <si>
    <t>G603637</t>
  </si>
  <si>
    <t>S260507_277</t>
  </si>
  <si>
    <t>Droits administrateur local</t>
  </si>
  <si>
    <t>1 x Droits administrateur local : 0 EURQuel est le n° de l'étiquette du PC (code barre) ? : P1312183Nom et matricule de l'ancien propriétaire : FerrerCette machine devient-elle la votre ? : OuiType OS : Windows</t>
  </si>
  <si>
    <t xml:space="preserve">
Accepter       Pour accepter la demande, cliquez simplement sur le bouton d'envoi de ce mail. Ne modifiez pas le texte ci dessous @OPERATION@='SOLVE' @RFC_NUMBER@='S260507_277' @CHOICE@='1'   
BonjourDemande traitéeEPM déployée CdtSANA</t>
  </si>
  <si>
    <t>BEN MANSOUR, Hakim</t>
  </si>
  <si>
    <t>G545685</t>
  </si>
  <si>
    <t>AIT EL BACHA, Said</t>
  </si>
  <si>
    <t>S260508_195</t>
  </si>
  <si>
    <t>RIHANI, Bilel</t>
  </si>
  <si>
    <t>G360437</t>
  </si>
  <si>
    <t>2 x PC Desktop : 0 USD2 x Desktop Dev. ++ : 4972 USD2 x Aucun écran :   USDType : TestConfiguration : Configuration androidOS : Socle (Linux domaine sagemcom)Clavier : AZERTYCentre de coût : S250201Email de validation de son DIR pôle à joindre : RE RTS - test de connectivité consoles.msg</t>
  </si>
  <si>
    <t xml:space="preserve">
bonjourles 2 pcs sont disponiblesS/N:4W61RF4 CG0DCC4 l'os :socle 12cordialement</t>
  </si>
  <si>
    <t>HOSNI, Khaled</t>
  </si>
  <si>
    <t>G551172</t>
  </si>
  <si>
    <t>EL KANTAOUI, Sélim</t>
  </si>
  <si>
    <t>G573124</t>
  </si>
  <si>
    <t xml:space="preserve">
Bonjour,Demande traitée Cdlt</t>
  </si>
  <si>
    <t>S260511_207</t>
  </si>
  <si>
    <t>YOUNSI, Badreddine</t>
  </si>
  <si>
    <t>G573177</t>
  </si>
  <si>
    <t xml:space="preserve">
Accepter      Pour accepter la demande, cliquez simplement sur le bouton d'envoi de ce mail. Ne modifiez pas le texte ci dessous @OPERATION@='SOLVE' @RFC_NUMBER@='S260511_207' @CHOICE@='1'         Ayada Hassine          Responsable Qualité Environnement SS&amp;T / Responsable bureau d’etude SS&amp;T     2-Information Interne Sagemcom – Interdiction de communiquer en externe sans autorisation  de la direction concernée - Ce document et les informations qu’il contient sont la propriété de Sagemcom. Ils ne doivent pas être reproduits, représentés, divulgués à un/des tiers, ni utilisés à d’autres fins que celles pour lesquelles ils ont été établis  et transmis.     
Bonjour,Demande clôturer,Pas de retour de votre partLorsque tu seras disponible veuillez m'inviter sur orion.sagemcom.com pour faire le nécessaire.Cordialement.</t>
  </si>
  <si>
    <t>ABDENNADHER, Hend</t>
  </si>
  <si>
    <t>G361525</t>
  </si>
  <si>
    <t>S260511_277</t>
  </si>
  <si>
    <t>1 x Accès à un partage réseau : 0 EURLien du partage : \\osn01001\Comptage\Projets\Métier-Mecanique\3-Compteurs\16_Compteurs ExportDroits : Lecture/Ecriture</t>
  </si>
  <si>
    <t>MAURICE, Alexandre</t>
  </si>
  <si>
    <t>S260511_279</t>
  </si>
  <si>
    <t>S260511_280</t>
  </si>
  <si>
    <t>1 x Accès à un partage réseau : 0 EURLien du partage : \\rmm03331\Biblioth_EEVX213\DXF_cellsDroits : Lecture/Ecriture</t>
  </si>
  <si>
    <t>S260511_285</t>
  </si>
  <si>
    <t>1 x Groupes AD : 0 EURAction : AffectationGroupe(s) : SST-FW-CAO-PTC ; SST-CAO-PTC-FULLUtilisateur additionnel 1 : AMRI, Ahmed</t>
  </si>
  <si>
    <t>S260512_185</t>
  </si>
  <si>
    <t>1 x Serveur : 0 USD Titre : VM MIGRATION COORD TNB VAL Action : Création Service/CI associé au serveur : COORDINATEUR_1G_TNB Description serveur : Coordinateur VAL 1G VAL Hébergement du serveur : Central (BLB) Type de serveur : Virtuel (VM) Nature du serveur : VAL Système d'exploitation du serveur : Debian 13 Espace disque du serveur (en Go) : 10 GO sous /home &amp; 10 GO sous /var RAM Serveur (en Go) : 4 GO Nombre de processeur et modèle pour serveur : ' Date de mise en œuvre souhaitée : 22/05/2026 Besoin réseau : Accès uniquement par Sagemcom Matrice de flux : 95114 Besoin en supervision : Oui Besoin en sauvegarde : Oui Description de ce qui doit être sauvegardé : sauvegarde machine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RMM08194, elle doit être dans le même VLAN.
Cordialement,
Imen. Nom du serveur : BLB29032 Modèle : VMware Virtual Platform IP serveur : 10.81.130.162 Netmask : 255.255.255.248 Gateway : 10.81.130.161 Nouveau VLAN : Oui VLAN : 3254</t>
  </si>
  <si>
    <t xml:space="preserve">
• IP address:      10.81.130.162/29• Description:     VM Coordinateur VAL 1G VAL• Hostname:      BLB29032• Subnet:      10.81.130.160/29  (DMZ Projet - TNB)• Netmask:      255.255.255.248• Gateway:     10.81.130.161• VLAN ID:      3254 (DMZ Projet - TNB)
Flux en cours d'élaboration avec le switch d'ip
FAIT par Marwa en date du 20 mai 2026
https://rmm-infra-gitlab.ads.local/infra/vm-deployment/linux/debian-deployment/-/pipelines/6950
Accès PMAD créé</t>
  </si>
  <si>
    <t>S260512_187</t>
  </si>
  <si>
    <t>1 x Serveur : 0 USD Titre : VM MIGRATION COORD TNB PROD Action : Création Service/CI associé au serveur : COORDINATEUR_1G_TNB Description serveur : coordinateur PROD 1G TNB Hébergement du serveur : Central (BLB) Type de serveur : Virtuel (VM) Nature du serveur : PROD Système d'exploitation du serveur : Debian 13 Espace disque du serveur (en Go) : 20 GO sous la partion /home + 80 GO pour la partition /var RAM Serveur (en Go) : 4 GO Nombre de processeur et modèle pour serveur : 4 GO Date de mise en œuvre souhaitée : 22/05/2026 Besoin réseau : Accès uniquement par Sagemcom Matrice de flux : 95115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RMM08195, elle doit être dans le même VLAN.
Cordialement,
Imen. Nom du serveur : BLB28067 Modèle : VMware Virtual Platform IP serveur : 10.81.130.163 Netmask : 255.255.255.248 Gateway : 10.81.130.161 Nouveau VLAN : Non VLAN : 3254</t>
  </si>
  <si>
    <t xml:space="preserve">
• IP address:          10.81.130.163/29• Description:         VM de prod coordinateur 1G TNB• Hostname:          BLB28067• Subnet:          10.81.130.160/29  (DMZ Projet - TNB)• Netmask:          255.255.255.248• Gateway:         10.81.130.161• VLAN ID:          3254 (DMZ Projet - TNB)
Flux inter VLAN ouvert comme pour l'ip d'origine. Pour les flux intra vlan merci de les recenser et ouvrir une demande d'ouverture de flux pour ces derniers
Accès PMAD</t>
  </si>
  <si>
    <t>S260512_189</t>
  </si>
  <si>
    <t>1 x Serveur : 0 USD Titre : VM MIGRATION COORD ENEXIS VAL Action : Création Service/CI associé au serveur : COORDINATEUR_1G_ENEXIS Description serveur : coordinateur VAL 1G ENEXIS Hébergement du serveur : Central (BLB) Type de serveur : Virtuel (VM) Nature du serveur : VAL Système d'exploitation du serveur : Debian 13 Espace disque du serveur (en Go) : 10 GO sous /home + 10 GO sous /var RAM Serveur (en Go) : 4 GO Nombre de processeur et modèle pour serveur : 4 Date de mise en œuvre souhaitée : 15/05/2026 Besoin réseau : Accès uniquement par Sagemcom Matrice de flux : 95116 Besoin en supervision : Oui Besoin en sauvegarde : Oui Description de ce qui doit être sauvegardé : sauvegarde machine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RMM08189, elle doit être dans le même VLAN.
Cordialement,
Imen. Nom du serveur : BLB29031 Modèle : VMware Virtual Platform IP serveur : 10.81.130.154 Netmask : 255.255.255.248 Gateway : 10.81.130.153 Nouveau VLAN : Oui VLAN : 3253</t>
  </si>
  <si>
    <t xml:space="preserve">
• IP address:      10.81.130.154/29• Description:     VM de prod COORDINATEUR_1G_ENEXIS• Hostname:      BLB29031• Subnet:      10.81.130.152/29  (DMZ Projet - Enexis)• Netmask:      255.255.255.248• VLAN ID:      3253 (DMZ Projet - Enexis)
Matrice des flux en cours d'élaboration
FAIT par Marwa en date du 20 mai 2026
Accès PMAD Phoenix créé</t>
  </si>
  <si>
    <t>S260512_192</t>
  </si>
  <si>
    <t>1 x Serveur : 0 USD Titre : VM MIGRATION COORD ENEXIS PROD Action : Création Service/CI associé au serveur : COORDINATEUR_1G_ENEXIS Description serveur : Coordinateur PROD 1G ENEXIS Hébergement du serveur : Central (BLB) Type de serveur : Virtuel (VM) Nature du serveur : PROD Système d'exploitation du serveur : Debian 13 Espace disque du serveur (en Go) : 70 GO sous /home + 200 GO sous /var RAM Serveur (en Go) : 8 GO Nombre de processeur et modèle pour serveur : 4 Date de mise en œuvre souhaitée : 15/05/2026 Besoin réseau : Accès uniquement par Sagemcom Matrice de flux : 95117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RMM08182, elle doit être dans le même VLAN.
Cordialement,
Imen.
  Nom du serveur : BLB28066 Modèle : VMware Virtual Platform IP serveur : 10.81.130.155 Netmask : 255.255.255.248 Gateway : 10.81.130.153 Nouveau VLAN : Non VLAN : 3253</t>
  </si>
  <si>
    <t xml:space="preserve">
• IP address:          10.81.130.155/29• Description:         VM de PROD Coordinateur 1G ENEXIS• Hostname:          BLB28066• Subnet:          10.81.130.152/29  (DMZ Projet - Enexis)• Netmask:          255.255.255.248• VLAN ID:          3253 (DMZ Projet - Enexis)
Flux inter VLAN ouvert comme pour l'ip d'origine. Pour les flux intra vlan merci de les recenser et ouvrir une demande d'ouverture de flux pour ces derniers 
Accès PMAD créé</t>
  </si>
  <si>
    <t>S260512_196</t>
  </si>
  <si>
    <t>1 x Serveur : 0 USD Titre : VM MIGRATION COORD SIBELGA VAL Action : Création Service/CI associé au serveur : COORDINATEUR_1G_SIBELGA Description serveur : coordinateur VAL 1G SIBELGA Hébergement du serveur : Central (BLB) Type de serveur : Virtuel (VM) Nature du serveur : VAL Système d'exploitation du serveur : Debian 13 Espace disque du serveur (en Go) : 10 GO sous /home + 10 GO sous /var RAM Serveur (en Go) : 4 GO Nombre de processeur et modèle pour serveur : 4 Date de mise en œuvre souhaitée : 15/05/2026 Besoin réseau : Accès uniquement par Sagemcom Matrice de flux : 95118 Besoin en supervision : Oui Besoin en sauvegarde : Oui Description de ce qui doit être sauvegardé : sauvegarde machine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RMM08187, elle doit être dans le même VLAN.
Cordialement,
Imen
  Nom du serveur : BLB29030 Modèle : VMware Virtual Platform IP serveur : 10.81.130.146 Netmask : 255.255.255.248 Gateway : 10.81.130.144 Nouveau VLAN : Oui VLAN : 3252</t>
  </si>
  <si>
    <t xml:space="preserve">
• IP address:          10.81.130.146/29• Description:         VM de prod COORDINATEUR_1G_SIBELGA• Hostname:          BLB29030• Subnet:          10.81.130.144/29  (DMZ Projet - Sibelga)• Netmask:          255.255.255.248• VLAN ID:          3252 (DMZ Projet - Sibelga)
Matrice de flux en cours d'élaboration
FAIT par Marwa en date du 20 mai 2026
Ajout PMAD</t>
  </si>
  <si>
    <t>S260512_203</t>
  </si>
  <si>
    <t>1 x Serveur : 0 USD Titre : VM MIGRATION COORD SIBELGA PROD Action : Création Service/CI associé au serveur : COORDINATEUR_1G_SIBELGA Description serveur : Coordinateur PROD 1G SIBELGA Hébergement du serveur : Central (BLB) Type de serveur : Virtuel (VM) Nature du serveur : PROD Système d'exploitation du serveur : Debian 13 Espace disque du serveur (en Go) : 20 GO sous /home + 20 GO sous /var RAM Serveur (en Go) : 4 Nombre de processeur et modèle pour serveur : 4 Date de mise en œuvre souhaitée : 15/05/2026 Besoin réseau : Accès uniquement par Sagemcom Matrice de flux : 95119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RMM08184, elle doit être dans le même VLAN.
Cordialement,
Imen
  Nom du serveur : BLB28065 Modèle : VMware Virtual Platform IP serveur : 10.81.130.147 Netmask : 255.255.255.248 Gateway : 10.81.130.145 Nouveau VLAN : Non VLAN : 3252</t>
  </si>
  <si>
    <t xml:space="preserve">
• IP address:      10.81.130.147/29• Description:     VM de PROD Coordinateur 1G SIBELGA• Hostname:      BLB28065• Subnet:      10.81.130.144/29  (DMZ Projet - Sibelga)• Netmask:      255.255.255.248• VLAN ID:      3252 (DMZ Projet - Sibelga)
Flux inter VLAN ouverts comme pour l'ip d'origine. Pour les flux intra vlan merci de les recenser et ouvrir une demande d'ouverture de flux pour ces derniers.
Accès PMAD créé</t>
  </si>
  <si>
    <t>S260512_247</t>
  </si>
  <si>
    <t>1 x Serveur : 0 USD Titre : VM MIGRATION COORD REGAZ VAL Action : Création Service/CI associé au serveur : COORDINATEUR_1G_REGAZ_GEG Description serveur : Coordinateur VAL 1G REGAZ Hébergement du serveur : Central (BLB) Type de serveur : Virtuel (VM) Nature du serveur : VAL Système d'exploitation du serveur : Debian 13 Espace disque du serveur (en Go) : 10 GO sous /home + 10 GO sous /var RAM Serveur (en Go) : 4 GO Nombre de processeur et modèle pour serveur : 4 Date de mise en œuvre souhaitée : 22/05/2026 Besoin réseau : Accès uniquement par Sagemcom Matrice de flux : 95152 Besoin en supervision : Oui Besoin en sauvegarde : Oui Description de ce qui doit être sauvegardé : sauvegarde machine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RMM08408, elle doit être dans le même VLAN.
Cordialement,
Imen
  Nom du serveur : BLB29040 Modèle : VMware Virtual Platform IP serveur : 10.81.128.53 Netmask : 255.255.255.248 Gateway : 10.81.129.49 Nouveau VLAN : Non VLAN : 3006</t>
  </si>
  <si>
    <t xml:space="preserve">
• IP address:          10.81.128.53/29• Description:         Coordinateur VAL 1G REGAZ IP TEMP• Hostname:          BLB29040• Subnet:          10.81.128.48/29  (REGAZ Projet)• Netmask:          255.255.255.248• Gateway:         10.81.128.49• VLAN ID:          3006 (VLAN 3006 REGAZ)
Flux déjà ouvert sur l'ip d'origine qui sera réutilisée. L'ip fournie dans le ticket est temporaire le temps de l'installation.
Correction Gateway : 10.81.128.49
Accès PMAD Phoenix</t>
  </si>
  <si>
    <t>S260512_255</t>
  </si>
  <si>
    <t>1 x Serveur : 0 USD Titre : VM MIGRATION COORD REGAZ PROD Action : Création Service/CI associé au serveur : COORDINATEUR_1G_REGAZ_GEG Description serveur : Coordinateur PROD 1G REGAZ Hébergement du serveur : Central (BLB) Type de serveur : Virtuel (VM) Nature du serveur : PROD Système d'exploitation du serveur : Debian 13 Espace disque du serveur (en Go) : 20 GO sous /home + 60 GO sous /var RAM Serveur (en Go) : 8 Go Nombre de processeur et modèle pour serveur : 4 Date de mise en œuvre souhaitée : 22/05/2026 Besoin réseau : Accès uniquement par Sagemcom Matrice de flux : 95153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RMM08409, elle doit être dans le même VLAN.
Cordialement,
Imen
  Nom du serveur : BLB28064 Modèle : VMware Virtual Platform IP serveur : 10.81.128.54 Netmask : 255.255.255.248 Gateway : 10.81.128.49 Nouveau VLAN : Non VLAN : 3006</t>
  </si>
  <si>
    <t xml:space="preserve">
• IP address:          10.81.128.54/29• Description:         VM Coordinateur PROD 1G REGAZ IP TEMP• Hostname:          BLB28064• Subnet:          10.81.128.48/29  (REGAZ Projet)• Netmask:          255.255.255.248• Gateway:         10.81.128.49• VLAN ID:          3006 (VLAN 3006 REGAZ)
Flux déjà ouvert sur l'ip d'origine qui sera réutilisée. L'ip fournie dans le ticket est temporaire le temps de l'installation.
Accès PMAD créé</t>
  </si>
  <si>
    <t>S260512_264</t>
  </si>
  <si>
    <t>1 x Serveur : 0 USD Titre : VM MIGRATION COORD GAZPAR PROD Action : Création Service/CI associé au serveur : COORDINATEUR_1G_GAZPAR Description serveur : Coordinateur PROD 1G GAZPAR Hébergement du serveur : Central (BLB) Type de serveur : Virtuel (VM) Nature du serveur : PROD Système d'exploitation du serveur : Debian 13 Espace disque du serveur (en Go) : 60 GO sous /home + 160 GO sous /var RAM Serveur (en Go) : 8 Nombre de processeur et modèle pour serveur : 4 Date de mise en œuvre souhaitée : 15/06/2026 Besoin réseau : Accès uniquement par Sagemcom Matrice de flux : 95156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RMM08150, elle doit être dans le même VLAN.
Cordialement,
Imen
  Nom du serveur : BLB28063 Modèle : VMware Virtual Platform IP serveur : 10.81.130.187 Netmask : 255.255.255.248 Gateway : 10.81.130.185 Nouveau VLAN : Non VLAN : 3257</t>
  </si>
  <si>
    <t xml:space="preserve">
• IP address:          10.81.130.187/29• Description:         VM de Prod Coordinateur 1G GAZPAR• Hostname:          BLB28063• Subnet:          10.81.130.184/29  (DMZ Projet - Gazpar)• Netmask:          255.255.255.248• Gateway:         10.81.130.185• VLAN ID:          3257 (DMZ Projet - Gazpar)
Flux inter VLAN ouvert comme pour l'ip d'origine. Pour les flux intra vlan merci de les recenser et ouvrir une demande d'ouverture de flux pour ces derniers</t>
  </si>
  <si>
    <t>S260512_267</t>
  </si>
  <si>
    <t>1 x Serveur : 0 USD Titre : VM MIGRATION COORD SMARTVILLAG VAL Action : Création Service/CI associé au serveur : COORDINATEUR_ 1G_SMART_VILLAGE Description serveur : Coordinateur VAL 1G SMARTVILLAG Hébergement du serveur : Central (BLB) Type de serveur : Virtuel (VM) Nature du serveur : VAL Système d'exploitation du serveur : Debian 13 Espace disque du serveur (en Go) : 20 GO sous /home + 20 GO sous /var RAM Serveur (en Go) : 4 Nombre de processeur et modèle pour serveur : 4 Date de mise en œuvre souhaitée : 01/07/2026 Besoin réseau : Accès uniquement par Sagemcom Matrice de flux : 95159 Besoin en supervision : Oui Besoin en sauvegarde : Oui Description de ce qui doit être sauvegardé : Sauvegarde machine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rmm08417, elle doit être dans le même VLAN.
Cordialement,
Imen
  Nom du serveur : BLB29038 Modèle : VMware Virtual Platform IP serveur : 10.81.128.68 Netmask : 255.255.255.248 Gateway : 10.81.128.65 Nouveau VLAN : Non VLAN : 3008</t>
  </si>
  <si>
    <t xml:space="preserve">
• IP address:          10.81.128.68/29• Description:         VM Coordinateur VAL 1G SMARTVILLAG IP TEMP• Hostname:          BLB29038• Subnet:          10.81.128.64/29  (PowerGrid)• Netmask:          255.255.255.248• Gateway:         10.81.128.65• VLAN ID:          3008 (VLAN 3008 PowerGrid)
Flux déjà ouvert sur l'ip d'origine qui sera réutilisée. L'ip fournie dans le ticket est temporaire le temps de l'installation.
Accès PMAD créé</t>
  </si>
  <si>
    <t>S260512_275</t>
  </si>
  <si>
    <t>1 x Serveur : 0 USD Titre : VM MIGRATION COORD ENSO VAL Action : Création Service/CI associé au serveur : COORDINATEUR_ 1G_ENSO Description serveur : Coordinateur VAL 1G ENSO Hébergement du serveur : Central (BLB) Type de serveur : Virtuel (VM) Nature du serveur : VAL Système d'exploitation du serveur : Debian 13 Espace disque du serveur (en Go) : 20 GO sous /home + 20 GO sous /var RAM Serveur (en Go) : 4 Nombre de processeur et modèle pour serveur : 4 Date de mise en œuvre souhaitée : 31/07/2026 Besoin réseau : Accès uniquement par Sagemcom Matrice de flux : 95162 Besoin en supervision : Oui Besoin en sauvegarde : Oui Description de ce qui doit être sauvegardé : Sauvegarde machine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RMM08450, elle doit être dans le même VLAN.
Cordialement,
Imen
  Nom du serveur : BLB29037 Modèle : VMware Virtual Platform IP serveur : 10.81.128.92 Netmask : 255.255.255.248 Gateway : 10.81.128.89 Nouveau VLAN : Non VLAN : 3011</t>
  </si>
  <si>
    <t xml:space="preserve">
• IP address:          10.81.128.92/29• Description:         VM Coordinateur VAL 1G ENSO IP TEMP• Hostname:          BLB29037• Subnet:          10.81.128.88/29  (ENSO Project)• Netmask:          255.255.255.248• VLAN ID:          3011 (ENSO)
Flux déjà ouvert sur l'ip d'origine qui sera réutilisée. L'ip fournie dans le ticket est temporaire le temps de l'installation.
Accès PMAD créé</t>
  </si>
  <si>
    <t>S260512_279</t>
  </si>
  <si>
    <t>1 x Serveur : 0 USD Titre : VM MIGRATION COORD ENSO PROD Action : Création Service/CI associé au serveur : COORDINATEUR_ 1G_ENSO Description serveur : Coordinateur PROD 1G ENSO Hébergement du serveur : Central (BLB) Type de serveur : Virtuel (VM) Nature du serveur : PROD Système d'exploitation du serveur : Debian 13 Espace disque du serveur (en Go) : 20 GO sous /home + 30 GO sous /var RAM Serveur (en Go) : 4 Nombre de processeur et modèle pour serveur : 4 Date de mise en œuvre souhaitée : 30/08/2026 Besoin réseau : Accès uniquement par Sagemcom Matrice de flux : 95163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RMM08451, elle doit être dans le même VLAN.
Cordialement,
Imen
  Nom du serveur : BLB28061 Modèle : VMware Virtual Platform IP serveur : 10.81.128.93 Netmask : 255.255.255.248 Gateway : 10.81.128.89 Nouveau VLAN : Non VLAN : 3011</t>
  </si>
  <si>
    <t xml:space="preserve">
• IP address:          10.81.128.93/29• Description:         VM Coordinateur PROD 1G ENSO IP TEMP• Hostname:          BLB28061• Subnet:          10.81.128.88/29  (ENSO Project)• Netmask:          255.255.255.248• VLAN ID:          3011 (ENSO)
Flux déjà ouvert sur l'ip d'origine qui sera réutilisée. L'ip fournie dans le ticket est temporaire le temps de l'installation.
ajout PMAD</t>
  </si>
  <si>
    <t>S260512_284</t>
  </si>
  <si>
    <t>1 x Serveur : 0 USD Titre : VM MIGRATION COORD LINKY VAL Action : Création Service/CI associé au serveur : COORDINATEUR_1G_LINKY Description serveur : Coordinateur VAL 1G LINKY Hébergement du serveur : Central (BLB) Type de serveur : Virtuel (VM) Nature du serveur : VAL Système d'exploitation du serveur : Debian 13 Espace disque du serveur (en Go) : 20 GO sous /home + 60 GO sous /var RAM Serveur (en Go) : 8 Nombre de processeur et modèle pour serveur : 4 Date de mise en œuvre souhaitée : 05/09/2026 Besoin réseau : Accès uniquement par Sagemcom Matrice de flux : 95165 Besoin en supervision : Oui Besoin en sauvegarde : Oui Description de ce qui doit être sauvegardé : Sauvegarde machine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RMM08124, elle doit être dans le même VLAN.
Cordialement,
Imen
  Nom du serveur : BLB29036 Modèle : VMware Virtual Platform IP serveur : 10.81.130.194 Netmask : 255.255.255.248 Gateway : 10.81.130.193 Nouveau VLAN : Oui VLAN : 3258</t>
  </si>
  <si>
    <t xml:space="preserve">
• IP address:          10.81.130.194/29• Description:         VM de VAL Coordinateur 1G LINKY• Hostname:          BLB29036• Subnet:          10.81.130.192/29  (DMZ Projet - Linky)• Netmask:          255.255.255.248• Gateway:         10.81.130.193• VLAN ID:          3258 (DMZ Projet - Linky )
Flux inter VLAN ouvert comme pour l'ip d'origine. Pour les flux intra vlan merci de les recenser et ouvrir une demande d'ouverture de flux pour ces derniers
VLAN créé sur le firewall et en cours de diffusion par l'équipe Network. 
Ajout PMAD Phoenix</t>
  </si>
  <si>
    <t>S260512_285</t>
  </si>
  <si>
    <t>1 x Serveur : 0 USD Titre : VM MIGRATION COORD LINKY PROD Action : Création Service/CI associé au serveur : COORDINATEUR_1G_LINKY Description serveur : Coordinateur PROD 1G LINKY Hébergement du serveur : Central (BLB) Type de serveur : Virtuel (VM) Nature du serveur : PROD Système d'exploitation du serveur : Debian 13 Espace disque du serveur (en Go) : 500 GO sous /home + 500 GO sous /var RAM Serveur (en Go) : 16 Nombre de processeur et modèle pour serveur : 4 Date de mise en œuvre souhaitée : 19/09/2026 Besoin réseau : Accès uniquement par Sagemcom Matrice de flux : 95166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RMM08125, elle doit être dans le même VLAN.
Cordialement,
Imen
  Nom du serveur : BLB28060 Modèle : VMware Virtual Platform IP serveur : 10.81.130.195 Netmask : 255.255.255.248 Gateway : 10.81.130.193 Nouveau VLAN : Non VLAN : 3258</t>
  </si>
  <si>
    <t xml:space="preserve">
• IP address:          10.81.130.195/29• Description:         VM de Prod Coordinateur 1G LINKY• Hostname:          BLB28060• Subnet:          10.81.130.192/29  (DMZ Projet - Linky)• Netmask:          255.255.255.248• Gateway:         10.81.130.193• VLAN ID:          3258 (DMZ Projet - Linky )
Flux inter VLAN ouvert comme pour l'ip d'origine. Pour les flux intra vlan merci de les recenser et ouvrir une demande d'ouverture de flux pour ces derniers
Serveur Ajouté dans PMAD Phoenix</t>
  </si>
  <si>
    <t>S260513_025</t>
  </si>
  <si>
    <t>1 x Serveur : 0 USD Titre : VM MIGRATION COORD EEHC PROD Action : Création Service/CI associé au serveur : COORDINATEUR_2G_EGYPTE_EEHC Description serveur : Coordinateur PROD 1G EEHC Hébergement du serveur : Central (BLB) Type de serveur : Virtuel (VM) Nature du serveur : PROD Système d'exploitation du serveur : Debian 13 Espace disque du serveur (en Go) : 20 GO sous /home + 20 GO sous /var RAM Serveur (en Go) : 4 Nombre de processeur et modèle pour serveur : 4 Date de mise en œuvre souhaitée : 26/06/2026 Besoin réseau : Accès uniquement par Sagemcom Matrice de flux : 95206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RMM08376, elle doit être dans le même VLAN.
Cordialement,
Imen
  Nom du serveur : BLB28059 Modèle : VMware Virtual Platform IP serveur : 10.81.128.29 Netmask : 255.255.255.248 Gateway : 10.81.128.25 Nouveau VLAN : Non VLAN : 3003</t>
  </si>
  <si>
    <t xml:space="preserve">
• IP address:          10.81.128.29/29• Description:         VM Coordinateur PROD 1G EEHC IP TEMP• Hostname:          BLB28059• Subnet:          10.81.128.24/29  (Coordinateur Egypte)• Netmask:          255.255.255.248• Gateway:         10.81.128.25• VLAN ID:          3003 (VLAN 3003)
Flux déjà ouvert sur l'ip d'origine qui sera réutilisée. L'ip fournie dans le ticket est temporaire le temps de l'installation.
                                                         Attribuer                                                      
Accès Pmad créé</t>
  </si>
  <si>
    <t>S260513_027</t>
  </si>
  <si>
    <t>1 x Serveur : 0 USD Titre : VM MIGRATION SAV LINKY PROD Action : Création Service/CI associé au serveur : CORP_PORTAL_SAV Description serveur : SAV LINKY PROD 1G Hébergement du serveur : Central (BLB) Type de serveur : Virtuel (VM) Nature du serveur : PROD Système d'exploitation du serveur : Debian 13 Espace disque du serveur (en Go) : 20 GO sous /home + 60 GO sous /var RAM Serveur (en Go) : 8 Nombre de processeur et modèle pour serveur : 4 Date de mise en œuvre souhaitée : 25/07/2026 Besoin réseau : Accès uniquement par Sagemcom Matrice de flux : 95211 Besoin en supervision : Oui Besoin en sauvegarde : Oui Description de ce qui doit être sauvegardé : Sauvegarde machine Besoin d'une seconde sauvegarde sur un site distinct de Bois-Colombes : Non Besoin d'un alias DNS (à créer ou modifier) : Non Besoin certificat HTTPS : Non Besoin d'envoyer des mails via nos passerelles SMTP : Oui Responsable applicatif : TALMOUDI, Abdelkader - G603655 Contact technique : HAMMOUDA, Imen - G361243 Contact mainteneur : MKADDEM, Oussama - G701089 Expression du besoin :  
Bonjour,
Pouvez-vous créer cette machine dans le VLAN: DMZ_Privee VLAN 922.
la machine va remplacer RMM08213, elle doit être dans le même VLAN.
Cordialement,
Imen
  Nom du serveur : BLB28058 Modèle : VMware Virtual Platform IP serveur : 10.81.130.197 Netmask : 255.255.255.248 Gateway : 10.81.130.193 Nouveau VLAN : Non VLAN : 3258</t>
  </si>
  <si>
    <t xml:space="preserve">
• IP address:      10.81.130.197/29• Description:     VM de Prod SAV LINKY 1G• Hostname:      BLB28058• Subnet:      10.81.130.192/29  (DMZ Projet - Linky)• Netmask:      255.255.255.248• Gateway:     10.81.130.193• VLAN ID:      3258 (DMZ Projet - Linky )
Flux inter VLAN ouvert comme pour l'ip d'origine. Pour les flux intra vlan merci de les recenser et ouvrir une demande d'ouverture de flux pour ces derniers
Ajout PMAD Phoenix</t>
  </si>
  <si>
    <t>S260513_120</t>
  </si>
  <si>
    <t>1 x Accès à un partage réseau : 0 EURLien du partage : https://sagemcom365.sharepoint.com/:x:/r/sites/URD3/Products/energy/eau/_layouts/15/Doc.aspx?sourcedoc=%7B495DB153-F185-428B-B767-7FC29BBDA45A%7D&amp;file=BOM_Compteurs_Eau.xlsx&amp;action=default&amp;mobileredirect=true&amp;wdOrigin=TEAMS-MAGLEV.p2p_ns.rwc&amp;wdExp=TEAMS-TREATMENT&amp;wdhostclicktime=1770991422985&amp;web=1Droits : Lecture</t>
  </si>
  <si>
    <t xml:space="preserve">
L'accès a ce lien n'est pas encore accorder</t>
  </si>
  <si>
    <t>S260513_192</t>
  </si>
  <si>
    <t>3 x PC accessoires : 0 EURN° étiquette du PC (ou modèle) : Muni PCAutres accessoires : Non</t>
  </si>
  <si>
    <t>S260513_271</t>
  </si>
  <si>
    <t>1 x Licence Github Copilot (Code Assist) : 0 EURBU : AETGroupe : COPILOT_MEMBER_IA_TOOLSCombien de fois pensez-vous utiliser cette licence par mois? : 120Justification : Bonjour,j'ai besoin d'une licence Github Copilot,merci d'avance,cdt.Ismail LEHIOUICentre de coût : S250300</t>
  </si>
  <si>
    <t xml:space="preserve">
Bonjour,La licence a été ajoutée.Merci d’attendre le temps de synchronisation environ 2h.Cordialement,
Accepter      Pour accepter la demande, cliquez simplement sur le bouton d'envoi de ce mail. Ne modifiez pas le texte ci dessous @OPERATION@='SOLVE' @RFC_NUMBER@='S260513_271' @CHOICE@='1'  </t>
  </si>
  <si>
    <t>S260514_061</t>
  </si>
  <si>
    <t>JOUIROU, Yasmine</t>
  </si>
  <si>
    <t>G573165</t>
  </si>
  <si>
    <t>1 x PC accessoires : 0 EURN° étiquette du PC (ou modèle) : P1313006Autres accessoires : OuiAutre (préciser l'équipement et la taille) : CasqueCentre de coût : S250300</t>
  </si>
  <si>
    <t xml:space="preserve">
iphone pré-enrolé</t>
  </si>
  <si>
    <t>LAGREM, Boutheina</t>
  </si>
  <si>
    <t>G800060</t>
  </si>
  <si>
    <t>S260515_043</t>
  </si>
  <si>
    <t>1 x Prêt matériel informatique : 0 EURFormat : LaptopType : Intégré au domaine SagemcomConfiguration : Configuration validationOS : Linux (poste de test)Date de début du prêt : 23/06/2026Date de fin de prêt (6 mois maximum) : 24/06/2026Email de validation de son DIR pôle à joindre : formation Wi-Fi _ Bandsteering.msgComplément d information : Bonjour, 
Nous vous informons que la formation Smart Wi-Fi / Bandsteering se tiendra le 23 juin à la salle D05 Pour le bon déroulement de cette session nous aurions besoin de :
- 6 Laptops linux
- Flybox ooredoo
ci-dessous la liste des participants 
Matricule
Nom
Prénom 
701304
TALEB ALI
Mariem
700534
TRABELSI
Fedi
701738
BEN AMMAR
Rami
700527
SAYADI
Omayma
573269
GHANMI
Homem
701935
CHMENGUI
Aymen
Je vous remercie pour votre support
Cordialement 
Amal</t>
  </si>
  <si>
    <t>S260515_148</t>
  </si>
  <si>
    <t>KHELIFI, Slah</t>
  </si>
  <si>
    <t>G545508</t>
  </si>
  <si>
    <t>1 x PC Laptop : 0 EUR1 x Laptop light : 845.49 USD1 x Aucun écran :   USD1 x Câble de sécurité : 13.04 USD1 x Filtre de confidentialité : 27 USD1 x Souris sans fil : 12.65 EUR1 x Sac à dos Laptop : 16.7 EURType : Intégré au domaine SagemcomConfiguration : Configuration développementOS : Socle (Linux domaine sagemcom)Clavier : AZERTYCentre de coût : S250200Email de validation de son DIR pôle à joindre : test.docx</t>
  </si>
  <si>
    <t>MAMI, Mohamed Moez</t>
  </si>
  <si>
    <t>G701258</t>
  </si>
  <si>
    <t>Aftersales</t>
  </si>
  <si>
    <t>G_IT_SC_APPLI_SHAREPOINT</t>
  </si>
  <si>
    <t>G_IT_SC_COORDINATEUR_2G</t>
  </si>
  <si>
    <t>NZOUNKEU, Franck</t>
  </si>
  <si>
    <t>RAHMANI, Ameni</t>
  </si>
  <si>
    <t>G701934</t>
  </si>
  <si>
    <t xml:space="preserve">
groupes ajoutés </t>
  </si>
  <si>
    <t>S260519_208</t>
  </si>
  <si>
    <t>DRIDI, Amal</t>
  </si>
  <si>
    <t>G701957</t>
  </si>
  <si>
    <t>1 x PC accessoires : 0 EURN° étiquette du PC (ou modèle) : P1311291Autres accessoires : OuiAutre (préciser l'équipement et la taille) : casqueCentre de coût : -</t>
  </si>
  <si>
    <t>S260519_249</t>
  </si>
  <si>
    <t>TALBI, Mohamed Ali</t>
  </si>
  <si>
    <t>G573255</t>
  </si>
  <si>
    <t>2 x Souris : 0 EUR2 x Souris filaire : 18.86 EURCentre de coût : S250200</t>
  </si>
  <si>
    <t xml:space="preserve">
bonjour​souris est dispocordialement</t>
  </si>
  <si>
    <t>S260520_121</t>
  </si>
  <si>
    <t>HADJ ARBI, Farhat</t>
  </si>
  <si>
    <t>G701902</t>
  </si>
  <si>
    <t>1 x Licence Github Copilot (Code Assist) : 0 EURBU : BBSGroupe : COPILOT_MEMBER_BBSB_SSTCombien de fois pensez-vous utiliser cette licence par mois? : 10Justification : Bonjour,Je souhaite bénéficier d’une licence GitHub Copilot afin de faciliter les contrôles qualité et accompagner/supporter efficacement les équipes projet lors des revues projets, tout en améliorant la qualité des livrables.Cordialement Farhat Centre de coût : S250490</t>
  </si>
  <si>
    <t xml:space="preserve">
license added</t>
  </si>
  <si>
    <t>BEN YEDDER, Majdi</t>
  </si>
  <si>
    <t>G361152</t>
  </si>
  <si>
    <t>S260520_257</t>
  </si>
  <si>
    <t xml:space="preserve">
Bonjour,Demande est disponible, merci de passer au bureau ITCdt</t>
  </si>
  <si>
    <t>S260520_263</t>
  </si>
  <si>
    <t>KHADHRAOUI, Maher</t>
  </si>
  <si>
    <t>G700628</t>
  </si>
  <si>
    <t>1 x Accès à un partage réseau : 0 EURLien du partage : \\rmm03331.ads.local\Projets_XENTP2510\3-BLE\254072661_MS212_MEA_MCU_RUN2bis_PS1\PCB\Output\Meca\Ptc2MentorDroits : Lecture/Ecriture</t>
  </si>
  <si>
    <t>S260521_030</t>
  </si>
  <si>
    <t xml:space="preserve">
Acccès créé
Accepter      Pour accepter la demande, cliquez simplement sur le bouton d'envoi de ce mail. Ne modifiez pas le texte ci dessous @OPERATION@='SOLVE' @RFC_NUMBER@='S260521_030' @CHOICE@='1'  </t>
  </si>
  <si>
    <t>S260521_045</t>
  </si>
  <si>
    <t>1 x Prêt matériel informatique : 0 EURFormat : LaptopType : Intégré au domaine SagemcomConfiguration : Configuration développementOS : Socle (Linux domaine sagemcom)Date de début du prêt : 09/06/2026Date de fin de prêt (6 mois maximum) : 09/06/2026Email de validation de son DIR pôle à joindre : Formation Techniques de diagnostic HG6 .msgComplément d information : Bonjour, 
Nous vous informons que la formation Techniques de diagnostic HG6 se tiendra le 09 juin à la salle D05  Pour le bon déroulement de cette session nous aurions besoin de :
- 6 Laptops linux
- Flybox ooredoo
- Réseau Sagemcom
ci-dessous la liste des participants 
Matricule 
Nom 
Prénom
701955
MEJRI
Wassim
700350
GHRIBI
Mohamed Rayen
800536
ROUINI
Samy
801031
MHAMDI
TAKIEDDINE
701608
EL OUNI
Ahmed
701936
RAHMENI
Eya
701935
CHMENGUI
Aymen
Merci
Cordialement
Amal</t>
  </si>
  <si>
    <t xml:space="preserve">
Bonjour, demande bien traité matriculenom  pénomS/N de laptop OS701955MEJRIWassimp1312289socle700350GHRIBIMohamed Rayenp1311891800536ROUINISamyp1312496801031MHAMDITAKIEDDINEp1312316701608EL OUNIAhmedp1311886701936RAHMENIEyap1311712701935CHMENGUIAymenp1311888  Cordialement.</t>
  </si>
  <si>
    <t>S260521_049</t>
  </si>
  <si>
    <t xml:space="preserve">1 x Prêt matériel informatique : 0 EURFormat : LaptopType : TestConfiguration : Configuration validationOS : Linux (poste de test)Date de début du prêt : 29/06/2026Date de fin de prêt (6 mois maximum) : 30/06/2026Email de validation de son DIR pôle à joindre : test.docxComplément d information : Bonjour 
Pour les besoins en matériel de la formation Networking IPV6 Dev qui aura lieu les 29 et 30 
nous aurons besoin de 
PCs Linux pour les participants et un switch ethernet.
ci dessous la liste 
Matricule 
Nom du stagiaire 
Prénom du stagiaire 
702069
FATTOUMI
Ahmed Ibrahim
701955
MEJRI
Wassim
700761
MHIRI
Achraf
573133
BRAHIM
Lamia Hamida
702389
OULED SAID
Hazem
702438
BANNOUR
Rihab
merci bcp </t>
  </si>
  <si>
    <t>DHRAIEF, Zakia</t>
  </si>
  <si>
    <t>G573122</t>
  </si>
  <si>
    <t>S260521_239</t>
  </si>
  <si>
    <t>1 x PC accessoires : 0 EURN° étiquette du PC (ou modèle) : P1310618Autres accessoires : OuiAutre (préciser l'équipement et la taille) : CASQUECentre de coût : S250200</t>
  </si>
  <si>
    <t>S260521_265</t>
  </si>
  <si>
    <t>BEN FREDJ, Nidhal</t>
  </si>
  <si>
    <t>G573247</t>
  </si>
  <si>
    <t xml:space="preserve">
Bonjour ,Demande est disponibleCdt,</t>
  </si>
  <si>
    <t>S260521_269</t>
  </si>
  <si>
    <t>1 x PC accessoires : 0 EURN° étiquette du PC (ou modèle) : P1310552Autres accessoires : OuiAutre (préciser l'équipement et la taille) : CasqueCentre de coût : S250300</t>
  </si>
  <si>
    <t xml:space="preserve">
 @équipe IT : si le stock est épuisé, merci de contacter MCHITA Karim pour lancer une demande d'achat
Bonjour,​demande est disponibleCdt,</t>
  </si>
  <si>
    <t>WESLATI, Marwen</t>
  </si>
  <si>
    <t>G573068</t>
  </si>
  <si>
    <t>Licence IA</t>
  </si>
  <si>
    <t>G_IT_POP_MGT</t>
  </si>
  <si>
    <t>S260522_267</t>
  </si>
  <si>
    <t>MSOLLI, Riadh</t>
  </si>
  <si>
    <t>G360471</t>
  </si>
  <si>
    <t>1 x PC Laptop : 0 EUR1 x Laptop reconditionné :   EUR1 x Aucun écran :   USD1 x Câble de sécurité : 13.04 USD1 x Filtre de confidentialité : 27 USD1 x Aucun sac :   EURType : TestConfiguration : Configuration validationOS : WindowsClavier : AZERTYCentre de coût : S250200Email de validation de son DIR pôle à joindre : RE Urgent  solution pour les PCs non compatibles win11  a traiter en priorité.msg</t>
  </si>
  <si>
    <t xml:space="preserve">
bonjourlaptop de test est disponible  S/n: BY46Z33 l'os w11merci de nous rendre ancien laptopcordialement</t>
  </si>
  <si>
    <t>S260522_287</t>
  </si>
  <si>
    <t xml:space="preserve">
user ajouté dans DSI Indus (AD)
Accès créé</t>
  </si>
  <si>
    <t>S260525_051</t>
  </si>
  <si>
    <t>BEN ELHADJ MOHAMED, Lotfi</t>
  </si>
  <si>
    <t>G573303</t>
  </si>
  <si>
    <t>1 x PC accessoires : 0 EUR1 x Clavier : 10 USDN° étiquette du PC (ou modèle) : Laptop Dell Latitude 5510Autres accessoires : NonCentre de coût : S250200</t>
  </si>
  <si>
    <t xml:space="preserve">
Accepter      Pour accepter la demande, cliquez simplement sur le bouton d'envoi de ce mail. Ne modifiez pas le texte  ci dessous @OPERATION@='SOLVE' @RFC_NUMBER@='S260525_051' @CHOICE@='1'        Cdt,  Majed   
Bonjour,bien résolu, apres la nettoyage de clavier. Cordialement.</t>
  </si>
  <si>
    <t>S260525_092</t>
  </si>
  <si>
    <t>1 x Demande d'entrée DNS : 0 EURAction : ModificationType de DNS : Host (A)Nom DNS souhaité : basedocval.comonAdresse IP : 10.80.221.31</t>
  </si>
  <si>
    <t>S260525_181</t>
  </si>
  <si>
    <t>BOUGHDIRI, Fayrouz</t>
  </si>
  <si>
    <t>G701945</t>
  </si>
  <si>
    <t xml:space="preserve">1 x Installation réseau ou téléphone fixe : 0 EURDemande Réseau ou Téléphonie : RéseauBesoin extention cablage reseau : AutreAutre : Réseau Sagemdésignation : Bonjour,
j'ai un problème avec mon réseau sagem port A1118
pouvez-bous regarder svp ?
Merci,
Cdlt.
 </t>
  </si>
  <si>
    <t>S260526_078</t>
  </si>
  <si>
    <t>MAHER, Bouali</t>
  </si>
  <si>
    <t>G701252</t>
  </si>
  <si>
    <t>1 x Droits administrateur local : 0 EURQuel est le n° de l'étiquette du PC (code barre) ? : P1311670Cette machine devient-elle la votre ? : OuiType OS : Windows</t>
  </si>
  <si>
    <t xml:space="preserve">
bonjour,Demande traitée Cdt,</t>
  </si>
  <si>
    <t>S260529_052</t>
  </si>
  <si>
    <t>Système d'exploitation du serveur : Debian 13Type de serveur : Virtuel (VM)Nom du serveur : BLB28068Espace disque du serveur (en Go) : 100 GO sous /home + 30 GO sous /varRAM Serveur (en Go) : 8Besoin en supervision : OuiNombre de processeur et modèle pour serveur : 4Expression du besoin :  
Bonjour,
Pouvez-vous créer cette machine dans le VLAN: DMZ_Privee VLAN 922.
la machine va remplacer RMM08183, elle doit être dans le même VLAN.
Cordialement,
Imen
 Besoin en sauvegarde : OuiNature du serveur : PRODDescription de ce qui doit être sauvegardé : Sauvegarde machineContact technique : HAMMOUDA, Imen - G361243Matrice de flux : 95224Titre : VM MIGRATION COORD IBIS PRODBesoin réseau : Accès uniquement par SagemcomDate de mise en œuvre souhaitée : 05/06/2026Besoin d'une seconde sauvegarde sur un site distinct de Bois-Colombes : NonResponsable applicatif : TALMOUDI, Abdelkader - G603655Contact mainteneur : MKADDEM, Oussama - G701089Besoin certificat HTTPS : NonBesoin d'un alias DNS (à créer ou modifier) : NonNetmask : 255.255.255.248VLAN : 3256Gateway : 10.81.130.177Hébergement du serveur : Central (BLB)IP serveur : 10.81.130.179Action : CréationService/CI associé au serveur : COORDINATEUR_1G_IBISNouveau VLAN : NonBesoin d'envoyer des mails via nos passerelles SMTP : OuiModèle : VMware Virtual PlatformDescription serveur : Coordinateur PROD 1G IBISCréation du serveur : OuiCréation serveur en CI : OuiLien CI service-serveur : OuiSystème d'exploitation du serveur : Debian 13Type de serveur : Virtuel (VM)Nom du serveur : BLB28068Espace disque du serveur (en Go) : 100 GO sous /home + 30 GO sous /varRAM Serveur (en Go) : 8Besoin en supervision : OuiNombre de processeur et modèle pour serveur : 4Expression du besoin :  
Bonjour,
Pouvez-vous créer cette machine dans le VLAN: DMZ_Privee VLAN 922.
la machine va remplacer RMM08183, elle doit être dans le même VLAN.
Cordialement,
Imen
 Besoin en sauvegarde : OuiNature du serveur : PRODDescription de ce qui doit être sauvegardé : Sauvegarde machineContact technique : HAMMOUDA, Imen - G361243Matrice de flux : 95224Titre : VM MIGRATION COORD IBIS PRODBesoin réseau : Accès uniquement par SagemcomDate de mise en œuvre souhaitée : 05/06/2026Besoin d'une seconde sauvegarde sur un site distinct de Bois-Colombes : NonResponsable applicatif : TALMOUDI, Abdelkader - G603655Contact mainteneur : MKADDEM, Oussama - G701089Besoin certificat HTTPS : NonBesoin d'un alias DNS (à créer ou modifier) : NonNetmask : 255.255.255.248VLAN : 3256Gateway : 10.81.130.177Hébergement du serveur : Central (BLB)IP serveur : 10.81.130.179Action : CréationService/CI associé au serveur : COORDINATEUR_1G_IBISNouveau VLAN : NonBesoin d'envoyer des mails via nos passerelles SMTP : OuiModèle : VMware Virtual PlatformDescription serveur : Coordinateur PROD 1G IBIS</t>
  </si>
  <si>
    <t>S260529_053</t>
  </si>
  <si>
    <t>Nom du serveur : BLB29034Type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RMM08212,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07/08/2026Matrice de flux : 95216Titre : VM MIGRATION SAV LINKY VALResponsable applicatif : TALMOUDI, Abdelkader - G603655Contact mainteneur : MKADDEM, Oussama - G701089Besoin certificat HTTPS : NonBesoin d'un alias DNS (à créer ou modifier) : NonNetmask : 255.255.255.248VLAN : 3258Gateway : 10.81.130.193IP serveur : 10.81.130.196Action : CréationHébergement du serveur : Central (BLB)Nouveau VLAN : NonService/CI associé au serveur : CORP_PORTAL_SAVBesoin d'envoyer des mails via nos passerelles SMTP : OuiModèle : VMware Virtual PlatformDescription serveur : SAV LINKY VAL 1GCréation du serveur : OuiCréation serveur en CI : OuiLien CI service-serveur : OuiNom du serveur : BLB29034Type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RMM08212,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07/08/2026Matrice de flux : 95216Titre : VM MIGRATION SAV LINKY VALResponsable applicatif : TALMOUDI, Abdelkader - G603655Contact mainteneur : MKADDEM, Oussama - G701089Besoin certificat HTTPS : NonBesoin d'un alias DNS (à créer ou modifier) : NonNetmask : 255.255.255.248VLAN : 3258Gateway : 10.81.130.193IP serveur : 10.81.130.196Action : CréationHébergement du serveur : Central (BLB)Nouveau VLAN : NonService/CI associé au serveur : CORP_PORTAL_SAVBesoin d'envoyer des mails via nos passerelles SMTP : OuiModèle : VMware Virtual PlatformDescription serveur : SAV LINKY VAL 1G</t>
  </si>
  <si>
    <t>S260529_054</t>
  </si>
  <si>
    <t>Nom du serveur : BLB29035Type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RMM08375,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19/06/2026Matrice de flux : 95205Titre : VM MIGRATION COORD EEHC VALResponsable applicatif : TALMOUDI, Abdelkader - G603655Contact mainteneur : MKADDEM, Oussama - G701089Besoin certificat HTTPS : NonBesoin d'un alias DNS (à créer ou modifier) : NonNetmask : 255.255.255.248VLAN : 3003Gateway : 10.81.128.25IP serveur : 10.81.128.28Action : CréationHébergement du serveur : Central (BLB)Nouveau VLAN : NonService/CI associé au serveur : COORDINATEUR_2G_EGYPTE_EEHCBesoin d'envoyer des mails via nos passerelles SMTP : OuiModèle : VMware Virtual PlatformDescription serveur : Coordinateur VAL 1G EEHCCréation du serveur : OuiCréation serveur en CI : OuiLien CI service-serveur : OuiNom du serveur : BLB29035Type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RMM08375,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19/06/2026Matrice de flux : 95205Titre : VM MIGRATION COORD EEHC VALResponsable applicatif : TALMOUDI, Abdelkader - G603655Contact mainteneur : MKADDEM, Oussama - G701089Besoin certificat HTTPS : NonBesoin d'un alias DNS (à créer ou modifier) : NonNetmask : 255.255.255.248VLAN : 3003Gateway : 10.81.128.25IP serveur : 10.81.128.28Action : CréationHébergement du serveur : Central (BLB)Nouveau VLAN : NonService/CI associé au serveur : COORDINATEUR_2G_EGYPTE_EEHCBesoin d'envoyer des mails via nos passerelles SMTP : OuiModèle : VMware Virtual PlatformDescription serveur : Coordinateur VAL 1G EEHC</t>
  </si>
  <si>
    <t>S260529_106</t>
  </si>
  <si>
    <t>Nom du serveur : BLB28062Type de serveur : Virtuel (VM)Système d'exploitation du serveur : Debian 13Espace disque du serveur (en Go) : 20 GO sous /home + 20 GO sous /varRAM Serveur (en Go) : 4Nombre de processeur et modèle pour serveur : dExpression du besoin :  
Bonjour,
Pouvez-vous créer cette machine dans le VLAN: DMZ_Privee VLAN 922.
la machine va remplacer rmm08418,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20/07/2026Besoin d'une seconde sauvegarde sur un site distinct de Bois-Colombes : NonMatrice de flux : 95160Titre : VM MIGRATION COORD SMARTVILLAGE PRODResponsable applicatif : TALMOUDI, Abdelkader - G603655Contact mainteneur : MKADDEM, Oussama - G701089Besoin certificat HTTPS : NonBesoin d'un alias DNS (à créer ou modifier) : NonNetmask : 255.255.255.248VLAN : 3008Gateway : 10.81.128.65IP serveur : 10.81.128.69Action : CréationHébergement du serveur : Central (BLB)Nouveau VLAN : NonService/CI associé au serveur : COORDINATEUR_ 1G_SMART_VILLAGEBesoin d'envoyer des mails via nos passerelles SMTP : OuiModèle : VMware Virtual PlatformDescription serveur : Coordinateur PROD 1G SMARTVILLAGECréation du serveur : OuiCréation serveur en CI : OuiLien CI service-serveur : OuiNom du serveur : BLB28062Type de serveur : Virtuel (VM)Système d'exploitation du serveur : Debian 13Espace disque du serveur (en Go) : 20 GO sous /home + 20 GO sous /varRAM Serveur (en Go) : 4Nombre de processeur et modèle pour serveur : dExpression du besoin :  
Bonjour,
Pouvez-vous créer cette machine dans le VLAN: DMZ_Privee VLAN 922.
la machine va remplacer rmm08418,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20/07/2026Besoin d'une seconde sauvegarde sur un site distinct de Bois-Colombes : NonMatrice de flux : 95160Titre : VM MIGRATION COORD SMARTVILLAGE PRODResponsable applicatif : TALMOUDI, Abdelkader - G603655Contact mainteneur : MKADDEM, Oussama - G701089Besoin certificat HTTPS : NonBesoin d'un alias DNS (à créer ou modifier) : NonNetmask : 255.255.255.248VLAN : 3008Gateway : 10.81.128.65IP serveur : 10.81.128.69Action : CréationHébergement du serveur : Central (BLB)Nouveau VLAN : NonService/CI associé au serveur : COORDINATEUR_ 1G_SMART_VILLAGEBesoin d'envoyer des mails via nos passerelles SMTP : OuiModèle : VMware Virtual PlatformDescription serveur : Coordinateur PROD 1G SMARTVILLAGE</t>
  </si>
  <si>
    <t>VERGEZ, Melanie</t>
  </si>
  <si>
    <t>S260601_030</t>
  </si>
  <si>
    <t>TOUMI, Sonia</t>
  </si>
  <si>
    <t>G361469</t>
  </si>
  <si>
    <t>S260601_083</t>
  </si>
  <si>
    <t>MHAMDI, Amira</t>
  </si>
  <si>
    <t>G361265</t>
  </si>
  <si>
    <t>S260601_089</t>
  </si>
  <si>
    <t>BEN ALI, Samia</t>
  </si>
  <si>
    <t>G573274</t>
  </si>
  <si>
    <t>1 x Ligne ADSL / Fibre / Câble : 0 EUREmplacement technique de la ligne (Bât, Etg, Bureau...) : 1 étage site KramLigne : CâbleFournisseur : FreeDésignation commerciale de l'abonnement : !!!!!!Motif du besoin : connexion ethernetCoût mensuel de l'abonnement (euros) : 0Frais de mise en service (euros) : 0Affectation comptable (ordre ou section budgétaire) : 0Responsable de la ligne (+ matricule) : g573274</t>
  </si>
  <si>
    <t>S260601_090</t>
  </si>
  <si>
    <t>ZBIDI, Borhen</t>
  </si>
  <si>
    <t>G800777</t>
  </si>
  <si>
    <t>1 x PC Laptop : 0 EUR1 x Laptop reconditionné :   EUR1 x Aucun écran :   USD1 x Aucun sac :   EURType : TestConfiguration : Configuration validationOS : WindowsClavier : AZERTYCentre de coût : S250300Email de validation de son DIR pôle à joindre : 2026-06-01_11-00-52.pdf</t>
  </si>
  <si>
    <t xml:space="preserve">
​Bonjour,​a {    text-decoration: none;    color: #464feb; }tr th, tr td {    border: 1px solid #e6e6e6; }tr th {    background-color: #f5f5f5; }a {    text-decoration: none;    color: #464feb; }tr th, tr td {    border: 1px solid #e6e6e6; }tr th {    background-color: #f5f5f5; }Suite à l’urgence et au fait que je ne dispose pas d’un laptop sur site.je vous ai préparé un desktop de test après réception de votre confirmation.Vous pouvez passer au bureau IT pour le récupérer.Cordialement.</t>
  </si>
  <si>
    <t>S260601_102</t>
  </si>
  <si>
    <t>BOUHAJJA, Wiem</t>
  </si>
  <si>
    <t>G360699</t>
  </si>
  <si>
    <t>1 x PC accessoires : 0 EURN° étiquette du PC (ou modèle) : .Autres accessoires : OuiAutre (préciser l'équipement et la taille) : casqueCentre de coût : S250201</t>
  </si>
  <si>
    <t xml:space="preserve">
 @équipe IT : si le stock est épuisé , merci de transmettre la référence de cable de sécurité ( ref : Twin Clicksafe Master keyed Lock for All )  à BEN MANSOUR Hakim afin qu'il puisse lancer une demande d'achat 
bonjourcasque est dispocordialement</t>
  </si>
  <si>
    <t>S260601_103</t>
  </si>
  <si>
    <t>Infrastructure Cloud</t>
  </si>
  <si>
    <t>1 x Infrastructure Cloud : 0 EURTitre : Configuration SAML pour supEVALEntité/service : ITEnvironnement : Development/Integration/TestType d'accès : Sagemcom interneCommunication avec réseau Sagemcom : OuiType de service : VM Linux</t>
  </si>
  <si>
    <t xml:space="preserve">
dejà traité</t>
  </si>
  <si>
    <t>S260601_105</t>
  </si>
  <si>
    <t>GHARDALLOU, Mohamed</t>
  </si>
  <si>
    <t>G800389</t>
  </si>
  <si>
    <t>1 x Gestion des flux : 0 EURTitre : gta non accessibleAction demandée : CréationProjet/Application : GTASite destination : EZR (Tunisie/Ezzahra)Adresses IP sources : g800389Adresses IP destination : https://gta.sst.scom:8443/webquartz/ux/loginPort destination : 8443</t>
  </si>
  <si>
    <t xml:space="preserve">
Accepter      Pour accepter la demande, cliquez simplement sur le bouton d'envoi de ce mail. Ne modifiez pas le texte ci dessous @OPERATION@='SOLVE' @RFC_NUMBER@='S260601_105' @CHOICE@='1'          Mohamed Ghardallou       Référent Technique Senior E&amp;T (SST)  Adresse postale: Parc technologique Innovation City, Sousse 4061  Mobile: +216 99 163 122                                        </t>
  </si>
  <si>
    <t>S260601_120</t>
  </si>
  <si>
    <t>JAWEDI, Mohamed Mounawer</t>
  </si>
  <si>
    <t>G573282</t>
  </si>
  <si>
    <t>1 x Souris : 0 EUR1 x Souris filaire : 9.43 EURCentre de coût : S250206</t>
  </si>
  <si>
    <t xml:space="preserve">
Accepter      Pour accepter la demande, cliquez simplement sur le bouton d'envoi de ce mail. Ne modifiez pas le texte ci dessous @OPERATION@='SOLVE' @RFC_NUMBER@='S260601_120' @CHOICE@='1'  
Bonjoursouris est disponiblecordialement</t>
  </si>
  <si>
    <t>S260601_180</t>
  </si>
  <si>
    <t>Nom du serveur : BLB28063Système d'exploitation du serveur : Debian 13Type de serveur : Virtuel (VM)Espace disque du serveur (en Go) : 60 GO sous /home + 160 GO sous /varRAM Serveur (en Go) : 8Nombre de processeur et modèle pour serveur : 4Expression du besoin :  
Bonjour,
Pouvez-vous créer cette machine dans le VLAN: DMZ_Privee VLAN 922.
la machine va remplacer RMM08150,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15/06/2026Besoin d'une seconde sauvegarde sur un site distinct de Bois-Colombes : NonMatrice de flux : 95156Titre : VM MIGRATION COORD GAZPAR PRODResponsable applicatif : TALMOUDI, Abdelkader - G603655Contact mainteneur : MKADDEM, Oussama - G701089Besoin certificat HTTPS : NonBesoin d'un alias DNS (à créer ou modifier) : NonNetmask : 255.255.255.248VLAN : 3257Gateway : 10.81.130.185IP serveur : 10.81.130.187Action : CréationHébergement du serveur : Central (BLB)Nouveau VLAN : NonService/CI associé au serveur : COORDINATEUR_1G_GAZPARBesoin d'envoyer des mails via nos passerelles SMTP : OuiModèle : VMware Virtual PlatformDescription serveur : Coordinateur PROD 1G GAZPARCréation du serveur : OuiCréation serveur en CI : OuiLien CI service-serveur : OuiNom du serveur : BLB28063Système d'exploitation du serveur : Debian 13Type de serveur : Virtuel (VM)Espace disque du serveur (en Go) : 60 GO sous /home + 160 GO sous /varRAM Serveur (en Go) : 8Nombre de processeur et modèle pour serveur : 4Expression du besoin :  
Bonjour,
Pouvez-vous créer cette machine dans le VLAN: DMZ_Privee VLAN 922.
la machine va remplacer RMM08150,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15/06/2026Besoin d'une seconde sauvegarde sur un site distinct de Bois-Colombes : NonMatrice de flux : 95156Titre : VM MIGRATION COORD GAZPAR PRODResponsable applicatif : TALMOUDI, Abdelkader - G603655Contact mainteneur : MKADDEM, Oussama - G701089Besoin certificat HTTPS : NonBesoin d'un alias DNS (à créer ou modifier) : NonNetmask : 255.255.255.248VLAN : 3257Gateway : 10.81.130.185IP serveur : 10.81.130.187Action : CréationHébergement du serveur : Central (BLB)Nouveau VLAN : NonService/CI associé au serveur : COORDINATEUR_1G_GAZPARBesoin d'envoyer des mails via nos passerelles SMTP : OuiModèle : VMware Virtual PlatformDescription serveur : Coordinateur PROD 1G GAZPAR</t>
  </si>
  <si>
    <t>S260601_184</t>
  </si>
  <si>
    <t>CHAABANI, Sirine</t>
  </si>
  <si>
    <t>G800208</t>
  </si>
  <si>
    <t xml:space="preserve">
Bonjour,Nous procédons à la clôture de votre ticket. Nous confirmons que les hubs USB ne sont pas fournis par notre service, veuillez contacter Karim MCHITAMerci de votre compréhension.Cdt,</t>
  </si>
  <si>
    <t>S260601_197</t>
  </si>
  <si>
    <t>OMRANI, Ibrahim</t>
  </si>
  <si>
    <t>G800291</t>
  </si>
  <si>
    <t>S260601_219</t>
  </si>
  <si>
    <t>1 x Demande d'entrée DNS : 0 EURAction : CréationType de DNS : Alias (CNAME)Nom DNS souhaité : argocd-avs.blb.scomNom technique de la machine cible : 10.80.185.37</t>
  </si>
  <si>
    <t>S260601_221</t>
  </si>
  <si>
    <t>1 x Demande de certificat / Keytab : 0 EURType de demande : CertificatNom DNS souhaité : argocd-avs.blb.scom</t>
  </si>
  <si>
    <t>S260601_227</t>
  </si>
  <si>
    <t xml:space="preserve">
Bonjourdemande traitéeCdtSANA</t>
  </si>
  <si>
    <t>S260601_241</t>
  </si>
  <si>
    <t>S260601_242</t>
  </si>
  <si>
    <t>1 x Droits administrateur local : 0 EURQuel est le n° de l'étiquette du PC (code barre) ? : P1311003Nom et matricule de l'ancien propriétaire : Ameni SammariCette machine devient-elle la votre ? : OuiType OS : Linux</t>
  </si>
  <si>
    <t>S260601_255</t>
  </si>
  <si>
    <t>1 x Masterisation d'un poste : 0 EURChoix de l'OS : LinuxDoit-on sauvegarder les données ? : NonNom de l'ancien propriétaire : Mehrez RekikN° de code barre du PC concerné par la masterisation : p1312898Trigramme site (pour hostname PC) : localhost.localdomain</t>
  </si>
  <si>
    <t xml:space="preserve">
Bonjour,Desktop est disponibleCordialement</t>
  </si>
  <si>
    <t>S260601_275</t>
  </si>
  <si>
    <t>1 x Masterisation d'un poste : 0 EURChoix de l'OS : LinuxDoit-on sauvegarder les données ? : OuiNom de l'ancien propriétaire : Rahmani AmeniN° de code barre du PC concerné par la masterisation : P1311469</t>
  </si>
  <si>
    <t>S260602_013</t>
  </si>
  <si>
    <t>Système d'exploitation du serveur : Debian 13Type de serveur : Virtuel (VM)Nom du serveur : BLB28058Espace disque du serveur (en Go) : 20 GO sous /home + 60 GO sous /varBesoin en supervision : OuiRAM Serveur (en Go) : 8Nombre de processeur et modèle pour serveur : 4Expression du besoin :  
Bonjour,
Pouvez-vous créer cette machine dans le VLAN: DMZ_Privee VLAN 922.
la machine va remplacer RMM08213, elle doit être dans le même VLAN.
Cordialement,
Imen
 Description de ce qui doit être sauvegardé : Sauvegarde machineBesoin en sauvegarde : OuiNature du serveur : PRODContact technique : HAMMOUDA, Imen - G361243Besoin réseau : Accès uniquement par SagemcomDate de mise en œuvre souhaitée : 25/07/2026Matrice de flux : 95211Titre : VM MIGRATION SAV LINKY PRODBesoin d'une seconde sauvegarde sur un site distinct de Bois-Colombes : NonContact mainteneur : MKADDEM, Oussama - G701089Responsable applicatif : TALMOUDI, Abdelkader - G603655Besoin certificat HTTPS : NonNetmask : 255.255.255.248Besoin d'un alias DNS (à créer ou modifier) : NonVLAN : 3258Gateway : 10.81.130.193IP serveur : 10.81.130.197Hébergement du serveur : Central (BLB)Action : CréationNouveau VLAN : NonService/CI associé au serveur : CORP_PORTAL_SAVBesoin d'envoyer des mails via nos passerelles SMTP : OuiModèle : VMware Virtual PlatformDescription serveur : SAV LINKY PROD 1GCréation du serveur : OuiCréation serveur en CI : OuiLien CI service-serveur : OuiSystème d'exploitation du serveur : Debian 13Type de serveur : Virtuel (VM)Nom du serveur : BLB28058Espace disque du serveur (en Go) : 20 GO sous /home + 60 GO sous /varBesoin en supervision : OuiRAM Serveur (en Go) : 8Nombre de processeur et modèle pour serveur : 4Expression du besoin :  
Bonjour,
Pouvez-vous créer cette machine dans le VLAN: DMZ_Privee VLAN 922.
la machine va remplacer RMM08213, elle doit être dans le même VLAN.
Cordialement,
Imen
 Description de ce qui doit être sauvegardé : Sauvegarde machineBesoin en sauvegarde : OuiNature du serveur : PRODContact technique : HAMMOUDA, Imen - G361243Besoin réseau : Accès uniquement par SagemcomDate de mise en œuvre souhaitée : 25/07/2026Matrice de flux : 95211Titre : VM MIGRATION SAV LINKY PRODBesoin d'une seconde sauvegarde sur un site distinct de Bois-Colombes : NonContact mainteneur : MKADDEM, Oussama - G701089Responsable applicatif : TALMOUDI, Abdelkader - G603655Besoin certificat HTTPS : NonNetmask : 255.255.255.248Besoin d'un alias DNS (à créer ou modifier) : NonVLAN : 3258Gateway : 10.81.130.193IP serveur : 10.81.130.197Hébergement du serveur : Central (BLB)Action : CréationNouveau VLAN : NonService/CI associé au serveur : CORP_PORTAL_SAVBesoin d'envoyer des mails via nos passerelles SMTP : OuiModèle : VMware Virtual PlatformDescription serveur : SAV LINKY PROD 1G</t>
  </si>
  <si>
    <t>S260602_014</t>
  </si>
  <si>
    <t>Nom du serveur : BLB28061Type de serveur : Virtuel (VM)Système d'exploitation du serveur : Debian 13Espace disque du serveur (en Go) : 20 GO sous /home + 30 GO sous /varRAM Serveur (en Go) : 4Nombre de processeur et modèle pour serveur : 4Expression du besoin :  
Bonjour,
Pouvez-vous créer cette machine dans le VLAN: DMZ_Privee VLAN 922.
la machine va remplacer RMM08451,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30/08/2026Besoin d'une seconde sauvegarde sur un site distinct de Bois-Colombes : NonMatrice de flux : 95163Titre : VM MIGRATION COORD ENSO PRODResponsable applicatif : TALMOUDI, Abdelkader - G603655Contact mainteneur : MKADDEM, Oussama - G701089Besoin certificat HTTPS : NonBesoin d'un alias DNS (à créer ou modifier) : NonNetmask : 255.255.255.248VLAN : 3011Gateway : 10.81.128.89IP serveur : 10.81.128.93Action : CréationHébergement du serveur : Central (BLB)Nouveau VLAN : NonService/CI associé au serveur : COORDINATEUR_ 1G_ENSOBesoin d'envoyer des mails via nos passerelles SMTP : OuiModèle : VMware Virtual PlatformDescription serveur : Coordinateur PROD 1G ENSOCréation du serveur : OuiCréation serveur en CI : OuiLien CI service-serveur : OuiNom du serveur : BLB28061Type de serveur : Virtuel (VM)Système d'exploitation du serveur : Debian 13Espace disque du serveur (en Go) : 20 GO sous /home + 30 GO sous /varRAM Serveur (en Go) : 4Nombre de processeur et modèle pour serveur : 4Expression du besoin :  
Bonjour,
Pouvez-vous créer cette machine dans le VLAN: DMZ_Privee VLAN 922.
la machine va remplacer RMM08451,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30/08/2026Besoin d'une seconde sauvegarde sur un site distinct de Bois-Colombes : NonMatrice de flux : 95163Titre : VM MIGRATION COORD ENSO PRODResponsable applicatif : TALMOUDI, Abdelkader - G603655Contact mainteneur : MKADDEM, Oussama - G701089Besoin certificat HTTPS : NonBesoin d'un alias DNS (à créer ou modifier) : NonNetmask : 255.255.255.248VLAN : 3011Gateway : 10.81.128.89IP serveur : 10.81.128.93Action : CréationHébergement du serveur : Central (BLB)Nouveau VLAN : NonService/CI associé au serveur : COORDINATEUR_ 1G_ENSOBesoin d'envoyer des mails via nos passerelles SMTP : OuiModèle : VMware Virtual PlatformDescription serveur : Coordinateur PROD 1G ENSO</t>
  </si>
  <si>
    <t>S260602_015</t>
  </si>
  <si>
    <t>Nom du serveur : BLB28059Type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RMM08376,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26/06/2026Besoin d'une seconde sauvegarde sur un site distinct de Bois-Colombes : NonMatrice de flux : 95206Titre : VM MIGRATION COORD EEHC PRODResponsable applicatif : TALMOUDI, Abdelkader - G603655Contact mainteneur : MKADDEM, Oussama - G701089Besoin certificat HTTPS : NonBesoin d'un alias DNS (à créer ou modifier) : NonNetmask : 255.255.255.248VLAN : 3003Gateway : 10.81.128.25IP serveur : 10.81.128.29Action : CréationHébergement du serveur : Central (BLB)Nouveau VLAN : NonService/CI associé au serveur : COORDINATEUR_2G_EGYPTE_EEHCBesoin d'envoyer des mails via nos passerelles SMTP : OuiModèle : VMware Virtual PlatformDescription serveur : Coordinateur PROD 1G EEHCCréation du serveur : OuiCréation serveur en CI : OuiLien CI service-serveur : OuiNom du serveur : BLB28059Type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RMM08376,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26/06/2026Besoin d'une seconde sauvegarde sur un site distinct de Bois-Colombes : NonMatrice de flux : 95206Titre : VM MIGRATION COORD EEHC PRODResponsable applicatif : TALMOUDI, Abdelkader - G603655Contact mainteneur : MKADDEM, Oussama - G701089Besoin certificat HTTPS : NonBesoin d'un alias DNS (à créer ou modifier) : NonNetmask : 255.255.255.248VLAN : 3003Gateway : 10.81.128.25IP serveur : 10.81.128.29Action : CréationHébergement du serveur : Central (BLB)Nouveau VLAN : NonService/CI associé au serveur : COORDINATEUR_2G_EGYPTE_EEHCBesoin d'envoyer des mails via nos passerelles SMTP : OuiModèle : VMware Virtual PlatformDescription serveur : Coordinateur PROD 1G EEHC</t>
  </si>
  <si>
    <t>S260602_016</t>
  </si>
  <si>
    <t>Nom du serveur : BLB29037Type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RMM08450,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31/07/2026Matrice de flux : 95162Titre : VM MIGRATION COORD ENSO VALResponsable applicatif : TALMOUDI, Abdelkader - G603655Contact mainteneur : MKADDEM, Oussama - G701089Besoin certificat HTTPS : NonBesoin d'un alias DNS (à créer ou modifier) : NonNetmask : 255.255.255.248VLAN : 3011Gateway : 10.81.128.89IP serveur : 10.81.128.92Action : CréationHébergement du serveur : Central (BLB)Nouveau VLAN : NonService/CI associé au serveur : COORDINATEUR_ 1G_ENSOBesoin d'envoyer des mails via nos passerelles SMTP : OuiModèle : VMware Virtual PlatformDescription serveur : Coordinateur VAL 1G ENSOCréation du serveur : OuiCréation serveur en CI : OuiLien CI service-serveur : OuiNom du serveur : BLB29037Type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RMM08450,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31/07/2026Matrice de flux : 95162Titre : VM MIGRATION COORD ENSO VALResponsable applicatif : TALMOUDI, Abdelkader - G603655Contact mainteneur : MKADDEM, Oussama - G701089Besoin certificat HTTPS : NonBesoin d'un alias DNS (à créer ou modifier) : NonNetmask : 255.255.255.248VLAN : 3011Gateway : 10.81.128.89IP serveur : 10.81.128.92Action : CréationHébergement du serveur : Central (BLB)Nouveau VLAN : NonService/CI associé au serveur : COORDINATEUR_ 1G_ENSOBesoin d'envoyer des mails via nos passerelles SMTP : OuiModèle : VMware Virtual PlatformDescription serveur : Coordinateur VAL 1G ENSO</t>
  </si>
  <si>
    <t>S260602_017</t>
  </si>
  <si>
    <t>Nom du serveur : BLB29038Type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rmm08417,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01/07/2026Matrice de flux : 95159Titre : VM MIGRATION COORD SMARTVILLAG VALResponsable applicatif : TALMOUDI, Abdelkader - G603655Contact mainteneur : MKADDEM, Oussama - G701089Besoin certificat HTTPS : NonBesoin d'un alias DNS (à créer ou modifier) : NonNetmask : 255.255.255.248VLAN : 3008Gateway : 10.81.128.65IP serveur : 10.81.128.68Action : CréationHébergement du serveur : Central (BLB)Nouveau VLAN : NonService/CI associé au serveur : COORDINATEUR_ 1G_SMART_VILLAGEBesoin d'envoyer des mails via nos passerelles SMTP : OuiModèle : VMware Virtual PlatformDescription serveur : Coordinateur VAL 1G SMARTVILLAGCréation du serveur : OuiCréation serveur en CI : OuiLien CI service-serveur : OuiNom du serveur : BLB29038Type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rmm08417,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01/07/2026Matrice de flux : 95159Titre : VM MIGRATION COORD SMARTVILLAG VALResponsable applicatif : TALMOUDI, Abdelkader - G603655Contact mainteneur : MKADDEM, Oussama - G701089Besoin certificat HTTPS : NonBesoin d'un alias DNS (à créer ou modifier) : NonNetmask : 255.255.255.248VLAN : 3008Gateway : 10.81.128.65IP serveur : 10.81.128.68Action : CréationHébergement du serveur : Central (BLB)Nouveau VLAN : NonService/CI associé au serveur : COORDINATEUR_ 1G_SMART_VILLAGEBesoin d'envoyer des mails via nos passerelles SMTP : OuiModèle : VMware Virtual PlatformDescription serveur : Coordinateur VAL 1G SMARTVILLAG</t>
  </si>
  <si>
    <t>S260602_018</t>
  </si>
  <si>
    <t>Nom du serveur : BLB28064Type de serveur : Virtuel (VM)Système d'exploitation du serveur : Debian 13Espace disque du serveur (en Go) : 20 GO sous /home + 60 GO sous /varRAM Serveur (en Go) : 8 GoNombre de processeur et modèle pour serveur : 4Expression du besoin :  
Bonjour,
Pouvez-vous créer cette machine dans le VLAN: DMZ_Privee VLAN 922.
la machine va remplacer RMM08409,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22/05/2026Besoin d'une seconde sauvegarde sur un site distinct de Bois-Colombes : NonMatrice de flux : 95153Titre : VM MIGRATION COORD REGAZ PRODResponsable applicatif : TALMOUDI, Abdelkader - G603655Contact mainteneur : MKADDEM, Oussama - G701089Besoin certificat HTTPS : NonBesoin d'un alias DNS (à créer ou modifier) : NonNetmask : 255.255.255.248VLAN : 3006Gateway : 10.81.128.49IP serveur : 10.81.128.54Action : CréationHébergement du serveur : Central (BLB)Nouveau VLAN : NonService/CI associé au serveur : COORDINATEUR_1G_REGAZ_GEGBesoin d'envoyer des mails via nos passerelles SMTP : OuiModèle : VMware Virtual PlatformDescription serveur : Coordinateur PROD 1G REGAZCréation du serveur : OuiCréation serveur en CI : OuiLien CI service-serveur : OuiNom du serveur : BLB28064Type de serveur : Virtuel (VM)Système d'exploitation du serveur : Debian 13Espace disque du serveur (en Go) : 20 GO sous /home + 60 GO sous /varRAM Serveur (en Go) : 8 GoNombre de processeur et modèle pour serveur : 4Expression du besoin :  
Bonjour,
Pouvez-vous créer cette machine dans le VLAN: DMZ_Privee VLAN 922.
la machine va remplacer RMM08409,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22/05/2026Besoin d'une seconde sauvegarde sur un site distinct de Bois-Colombes : NonMatrice de flux : 95153Titre : VM MIGRATION COORD REGAZ PRODResponsable applicatif : TALMOUDI, Abdelkader - G603655Contact mainteneur : MKADDEM, Oussama - G701089Besoin certificat HTTPS : NonBesoin d'un alias DNS (à créer ou modifier) : NonNetmask : 255.255.255.248VLAN : 3006Gateway : 10.81.128.49IP serveur : 10.81.128.54Action : CréationHébergement du serveur : Central (BLB)Nouveau VLAN : NonService/CI associé au serveur : COORDINATEUR_1G_REGAZ_GEGBesoin d'envoyer des mails via nos passerelles SMTP : OuiModèle : VMware Virtual PlatformDescription serveur : Coordinateur PROD 1G REGAZ</t>
  </si>
  <si>
    <t>S260602_019</t>
  </si>
  <si>
    <t>Nom du serveur : BLB28065Type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RMM08184,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15/05/2026Besoin d'une seconde sauvegarde sur un site distinct de Bois-Colombes : NonMatrice de flux : 95119Titre : VM MIGRATION COORD SIBELGA PRODResponsable applicatif : TALMOUDI, Abdelkader - G603655Contact mainteneur : MKADDEM, Oussama - G701089Besoin certificat HTTPS : NonBesoin d'un alias DNS (à créer ou modifier) : NonNetmask : 255.255.255.248VLAN : 3252Gateway : 10.81.130.145IP serveur : 10.81.130.147Action : CréationHébergement du serveur : Central (BLB)Nouveau VLAN : NonService/CI associé au serveur : COORDINATEUR_1G_SIBELGABesoin d'envoyer des mails via nos passerelles SMTP : OuiModèle : VMware Virtual PlatformDescription serveur : Coordinateur PROD 1G SIBELGACréation du serveur : OuiCréation serveur en CI : OuiLien CI service-serveur : OuiNom du serveur : BLB28065Type de serveur : Virtuel (VM)Système d'exploitation du serveur : Debian 13Espace disque du serveur (en Go) : 20 GO sous /home + 20 GO sous /varRAM Serveur (en Go) : 4Nombre de processeur et modèle pour serveur : 4Expression du besoin :  
Bonjour,
Pouvez-vous créer cette machine dans le VLAN: DMZ_Privee VLAN 922.
la machine va remplacer RMM08184,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15/05/2026Besoin d'une seconde sauvegarde sur un site distinct de Bois-Colombes : NonMatrice de flux : 95119Titre : VM MIGRATION COORD SIBELGA PRODResponsable applicatif : TALMOUDI, Abdelkader - G603655Contact mainteneur : MKADDEM, Oussama - G701089Besoin certificat HTTPS : NonBesoin d'un alias DNS (à créer ou modifier) : NonNetmask : 255.255.255.248VLAN : 3252Gateway : 10.81.130.145IP serveur : 10.81.130.147Action : CréationHébergement du serveur : Central (BLB)Nouveau VLAN : NonService/CI associé au serveur : COORDINATEUR_1G_SIBELGABesoin d'envoyer des mails via nos passerelles SMTP : OuiModèle : VMware Virtual PlatformDescription serveur : Coordinateur PROD 1G SIBELGA</t>
  </si>
  <si>
    <t>S260602_020</t>
  </si>
  <si>
    <t>Nom du serveur : BLB28066Type de serveur : Virtuel (VM)Système d'exploitation du serveur : Debian 13Espace disque du serveur (en Go) : 70 GO sous /home + 200 GO sous /varRAM Serveur (en Go) : 8 GONombre de processeur et modèle pour serveur : 4Expression du besoin :  
Bonjour,
Pouvez-vous créer cette machine dans le VLAN: DMZ_Privee VLAN 922.
la machine va remplacer RMM08182,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15/05/2026Besoin d'une seconde sauvegarde sur un site distinct de Bois-Colombes : NonMatrice de flux : 95117Titre : VM MIGRATION COORD ENEXIS PRODResponsable applicatif : TALMOUDI, Abdelkader - G603655Contact mainteneur : MKADDEM, Oussama - G701089Besoin certificat HTTPS : NonBesoin d'un alias DNS (à créer ou modifier) : NonNetmask : 255.255.255.248VLAN : 3253Gateway : 10.81.130.153IP serveur : 10.81.130.155Action : CréationHébergement du serveur : Central (BLB)Nouveau VLAN : NonService/CI associé au serveur : COORDINATEUR_1G_ENEXISBesoin d'envoyer des mails via nos passerelles SMTP : OuiModèle : VMware Virtual PlatformDescription serveur : Coordinateur PROD 1G ENEXISCréation du serveur : OuiCréation serveur en CI : OuiLien CI service-serveur : OuiNom du serveur : BLB28066Type de serveur : Virtuel (VM)Système d'exploitation du serveur : Debian 13Espace disque du serveur (en Go) : 70 GO sous /home + 200 GO sous /varRAM Serveur (en Go) : 8 GONombre de processeur et modèle pour serveur : 4Expression du besoin :  
Bonjour,
Pouvez-vous créer cette machine dans le VLAN: DMZ_Privee VLAN 922.
la machine va remplacer RMM08182,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15/05/2026Besoin d'une seconde sauvegarde sur un site distinct de Bois-Colombes : NonMatrice de flux : 95117Titre : VM MIGRATION COORD ENEXIS PRODResponsable applicatif : TALMOUDI, Abdelkader - G603655Contact mainteneur : MKADDEM, Oussama - G701089Besoin certificat HTTPS : NonBesoin d'un alias DNS (à créer ou modifier) : NonNetmask : 255.255.255.248VLAN : 3253Gateway : 10.81.130.153IP serveur : 10.81.130.155Action : CréationHébergement du serveur : Central (BLB)Nouveau VLAN : NonService/CI associé au serveur : COORDINATEUR_1G_ENEXISBesoin d'envoyer des mails via nos passerelles SMTP : OuiModèle : VMware Virtual PlatformDescription serveur : Coordinateur PROD 1G ENEXIS</t>
  </si>
  <si>
    <t>S260602_021</t>
  </si>
  <si>
    <t>Nom du serveur : BLB29032Type de serveur : Virtuel (VM)Système d'exploitation du serveur : Debian 13Espace disque du serveur (en Go) : 10 GO sous /home &amp; 10 GO sous /varRAM Serveur (en Go) : 4 GONombre de processeur et modèle pour serveur : 'Expression du besoin : Bonjour,
Pouvez-vous créer cette machine dans le VLAN: DMZ_Privee VLAN 922.
la machine va remplacer RMM08194, elle doit être dans le même VLAN.
Cordialement,
Imen.Besoin en supervision : OuiBesoin en sauvegarde : OuiDescription de ce qui doit être sauvegardé : sauvegarde machineNature du serveur : VALContact technique : HAMMOUDA, Imen - G361243Besoin réseau : Accès uniquement par SagemcomDate de mise en œuvre souhaitée : 22/05/2026Matrice de flux : 95114Titre : VM MIGRATION COORD TNB VALResponsable applicatif : TALMOUDI, Abdelkader - G603655Contact mainteneur : MKADDEM, Oussama - G701089Besoin certificat HTTPS : NonBesoin d'un alias DNS (à créer ou modifier) : NonNetmask : 255.255.255.248VLAN : 3254Gateway : 10.81.130.161IP serveur : 10.81.130.162Action : CréationHébergement du serveur : Central (BLB)Nouveau VLAN : OuiService/CI associé au serveur : COORDINATEUR_1G_TNBBesoin d'envoyer des mails via nos passerelles SMTP : OuiModèle : VMware Virtual PlatformDescription serveur : Coordinateur VAL 1G VALCréation du serveur : OuiCréation serveur en CI : OuiLien CI service-serveur : OuiNom du serveur : BLB29032Type de serveur : Virtuel (VM)Système d'exploitation du serveur : Debian 13Espace disque du serveur (en Go) : 10 GO sous /home &amp; 10 GO sous /varRAM Serveur (en Go) : 4 GONombre de processeur et modèle pour serveur : 'Expression du besoin : Bonjour,
Pouvez-vous créer cette machine dans le VLAN: DMZ_Privee VLAN 922.
la machine va remplacer RMM08194, elle doit être dans le même VLAN.
Cordialement,
Imen.Besoin en supervision : OuiBesoin en sauvegarde : OuiDescription de ce qui doit être sauvegardé : sauvegarde machineNature du serveur : VALContact technique : HAMMOUDA, Imen - G361243Besoin réseau : Accès uniquement par SagemcomDate de mise en œuvre souhaitée : 22/05/2026Matrice de flux : 95114Titre : VM MIGRATION COORD TNB VALResponsable applicatif : TALMOUDI, Abdelkader - G603655Contact mainteneur : MKADDEM, Oussama - G701089Besoin certificat HTTPS : NonBesoin d'un alias DNS (à créer ou modifier) : NonNetmask : 255.255.255.248VLAN : 3254Gateway : 10.81.130.161IP serveur : 10.81.130.162Action : CréationHébergement du serveur : Central (BLB)Nouveau VLAN : OuiService/CI associé au serveur : COORDINATEUR_1G_TNBBesoin d'envoyer des mails via nos passerelles SMTP : OuiModèle : VMware Virtual PlatformDescription serveur : Coordinateur VAL 1G VAL</t>
  </si>
  <si>
    <t>S260602_022</t>
  </si>
  <si>
    <t>Expression du besoin : Mise hors service temporaire du serveur (arrêt technique), avec retrait temporaire de l’Active Directory, dans un objectif d’optimisation des ressources et de réutilisation ultérieure planifiée.Titre : Décommissionnement temporaire du serveurNom du serveur : sstflux14.ads.local : 10.206.213.14Action : DécommissionnementDate d'arrêt : 09/03/2026Besoin d'une sauvegarde : NonServeur non trouvé dans la liste ci-dessus : 1</t>
  </si>
  <si>
    <t>S260602_023</t>
  </si>
  <si>
    <t>Expression du besoin : Mise hors service temporaire du serveur (arrêt technique), avec retrait temporaire de l’Active Directory, dans un objectif d’optimisation des ressources et de réutilisation ultérieure planifiée.Titre : Décommissionnement temporaire du serveurNom du serveur : sstflux33.ads.local : 10.206.213.33Action : DécommissionnementDate d'arrêt : 09/03/2026Besoin d'une sauvegarde : NonServeur non trouvé dans la liste ci-dessus : 1</t>
  </si>
  <si>
    <t>S260602_024</t>
  </si>
  <si>
    <t>Expression du besoin : Mise hors service temporaire du serveur (arrêt technique), avec retrait temporaire de l’Active Directory, dans un objectif d’optimisation des ressources et de réutilisation ultérieure planifiée.Titre : Décommissionnement temporaire du serveurNom du serveur : srv-pbt02.ads.local  	10.206.213.35Action : DécommissionnementDate d'arrêt : 09/03/2026Besoin d'une sauvegarde : NonServeur non trouvé dans la liste ci-dessus : 1</t>
  </si>
  <si>
    <t>S260602_025</t>
  </si>
  <si>
    <t>Expression du besoin : Mise hors service temporaire du serveur (arrêt technique), avec retrait temporaire de l’Active Directory, dans un objectif d’optimisation des ressources et de réutilisation ultérieure planifiée.Titre : Décommissionnement temporaire du serveurNom du serveur : sstflux20.ads.local  : 10.206.213.20Action : DécommissionnementDate d'arrêt : 09/03/2026Besoin d'une sauvegarde : NonServeur non trouvé dans la liste ci-dessus : 1</t>
  </si>
  <si>
    <t>S260602_026</t>
  </si>
  <si>
    <t>Expression du besoin : Mise hors service temporaire du serveur (arrêt technique), avec retrait temporaire de l’Active Directory, dans un objectif d’optimisation des ressources et de réutilisation ultérieure planifiée.Titre : Décommissionnement temporaire du serveurNom du serveur : sst-flux21.ads.local  : 10.206.213.21Action : DécommissionnementDate d'arrêt : 09/03/2026Besoin d'une sauvegarde : NonServeur non trouvé dans la liste ci-dessus : 1</t>
  </si>
  <si>
    <t>S260602_096</t>
  </si>
  <si>
    <t>KCHAYEH, Mourad</t>
  </si>
  <si>
    <t>G701445</t>
  </si>
  <si>
    <t xml:space="preserve">
Accepter       Pour accepter la demande, cliquez simplement sur le bouton d'envoi de ce mail. Ne modifiez pas le texte ci dessous @OPERATION@='SOLVE' @RFC_NUMBER@='S260602_096' @CHOICE@='1'   
bonjoursouris est disponiblecordialement</t>
  </si>
  <si>
    <t>S260602_120</t>
  </si>
  <si>
    <t>BEN ABBES, Mohamed Ali</t>
  </si>
  <si>
    <t>G702003</t>
  </si>
  <si>
    <t>1 x Gestion des flux : 0 EURTitre : ingenieur devAction demandée : CréationProjet/Application : water meterService/CI associé au serveur : BLB_INFRA_SERVERSSite destination : BLB (France/Bois Colombes)Adresses IP sources : g702003Adresses IP destination : https://nexus-produits.rmm.scom/Port destination : 443Date de début de la mission : 02/06/2026</t>
  </si>
  <si>
    <t>S260602_131</t>
  </si>
  <si>
    <t>STAMBOULI, Mohamed Fawzi</t>
  </si>
  <si>
    <t>G801097</t>
  </si>
  <si>
    <t>1 x PC Desktop : 0 USD1 x Desktop Dev. : 588 USD1 x Aucun écran :   USDType : Intégré au domaine SagemcomConfiguration : Configuration développementOS : WindowsClavier : AZERTYCentre de coût : S250300Email de validation de son DIR pôle à joindre : RE Demande dextension de RAM.msg</t>
  </si>
  <si>
    <t xml:space="preserve">
Bonjour ,Demande traitéCordialement.</t>
  </si>
  <si>
    <t>S260602_133</t>
  </si>
  <si>
    <t>HERMI, Yassine</t>
  </si>
  <si>
    <t>G801098</t>
  </si>
  <si>
    <t>S260602_193</t>
  </si>
  <si>
    <t>THABTI, Thamer</t>
  </si>
  <si>
    <t>G701076</t>
  </si>
  <si>
    <t>Demande d'accès bureautique</t>
  </si>
  <si>
    <t>1 x Demande d'accès bureautique : 0 EURAction : AjoutNom du PC : P1312188Type d'accès : Accès imprimante (Réseau)Justification de la demande : Bonjour,je vous prie de bien vouloir m'accorder le droit d'accès à l'imprimante située à la mezzanine du site de Kram.
Merci d'avance.Cordialement,Thamer.</t>
  </si>
  <si>
    <t xml:space="preserve">
​Bonjour ,Demande traitée Cdt,</t>
  </si>
  <si>
    <t>S260602_217</t>
  </si>
  <si>
    <t>1 x Gestion des flux : 0 EURTitre : Flux vers port 5432Action demandée : CréationProjet/Application : activiti PRODSite destination : BLB (France/Bois Colombes)Adresses IP sources : SST-Dsi-AppliMetierAdresses IP destination : 10.81.129.170Port destination : 5432Date de début de la mission : 02/06/2026</t>
  </si>
  <si>
    <t xml:space="preserve">
Flux déjà ouvert.</t>
  </si>
  <si>
    <t>S260602_218</t>
  </si>
  <si>
    <t xml:space="preserve">
Accès cygnus créé vers la serveur ovh99003</t>
  </si>
  <si>
    <t>S260602_241</t>
  </si>
  <si>
    <t>KHELIL, Yasmine</t>
  </si>
  <si>
    <t>G573492</t>
  </si>
  <si>
    <t>Mémoire</t>
  </si>
  <si>
    <t>1 x Mémoire : 60 EURAjout de : 16 GoType d'UC : PortableN° étiquette du PC (ou modèle) : P1312461Centre de coût : S250300</t>
  </si>
  <si>
    <t xml:space="preserve">
@équipe IT : veuillez réaliser les diagnostics nécessaires 
à contacter MCHITA Karim en cas de besoin matériels </t>
  </si>
  <si>
    <t>S260603_074</t>
  </si>
  <si>
    <t>SAHLI, Mohamed Adem</t>
  </si>
  <si>
    <t>G800119</t>
  </si>
  <si>
    <t>1 x PC accessoires : 0 EUR1 x Clavier : 10 USDN° étiquette du PC (ou modèle) : P1313246Autres accessoires : NonCentre de coût : S250300</t>
  </si>
  <si>
    <t xml:space="preserve">
Accepter      Pour accepter la demande, cliquez simplement sur le bouton d'envoi de ce mail. Ne modifiez pas le texte ci dessous @OPERATION@='SOLVE' @RFC_NUMBER@='S260603_074' @CHOICE@='1'  
Bonjour,Demande traitéCordialement.</t>
  </si>
  <si>
    <t>S260603_079</t>
  </si>
  <si>
    <t>Nom du serveur : BLB28060Type de serveur : Virtuel (VM)Système d'exploitation du serveur : Debian 13Espace disque du serveur (en Go) : 500 GO sous /home + 500 GO sous /varRAM Serveur (en Go) : 16Nombre de processeur et modèle pour serveur : 4Expression du besoin :  
Bonjour,
Pouvez-vous créer cette machine dans le VLAN: DMZ_Privee VLAN 922.
la machine va remplacer RMM08125,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19/09/2026Besoin d'une seconde sauvegarde sur un site distinct de Bois-Colombes : NonMatrice de flux : 95166Titre : VM MIGRATION COORD LINKY PRODResponsable applicatif : TALMOUDI, Abdelkader - G603655Contact mainteneur : MKADDEM, Oussama - G701089Besoin certificat HTTPS : NonBesoin d'un alias DNS (à créer ou modifier) : NonNetmask : 255.255.255.248VLAN : 3258Gateway : 10.81.130.193IP serveur : 10.81.130.195Action : CréationHébergement du serveur : Central (BLB)Nouveau VLAN : NonService/CI associé au serveur : COORDINATEUR_1G_LINKYBesoin d'envoyer des mails via nos passerelles SMTP : OuiModèle : VMware Virtual PlatformDescription serveur : Coordinateur PROD 1G LINKYCréation du serveur : OuiCréation serveur en CI : OuiLien CI service-serveur : OuiNom du serveur : BLB28060Type de serveur : Virtuel (VM)Système d'exploitation du serveur : Debian 13Espace disque du serveur (en Go) : 500 GO sous /home + 500 GO sous /varRAM Serveur (en Go) : 16Nombre de processeur et modèle pour serveur : 4Expression du besoin :  
Bonjour,
Pouvez-vous créer cette machine dans le VLAN: DMZ_Privee VLAN 922.
la machine va remplacer RMM08125, elle doit être dans le même VLAN.
Cordialement,
Imen
 Besoin en supervision : OuiBesoin en sauvegarde : OuiDescription de ce qui doit être sauvegardé : Sauvegarde machineNature du serveur : PRODContact technique : HAMMOUDA, Imen - G361243Besoin réseau : Accès uniquement par SagemcomDate de mise en œuvre souhaitée : 19/09/2026Besoin d'une seconde sauvegarde sur un site distinct de Bois-Colombes : NonMatrice de flux : 95166Titre : VM MIGRATION COORD LINKY PRODResponsable applicatif : TALMOUDI, Abdelkader - G603655Contact mainteneur : MKADDEM, Oussama - G701089Besoin certificat HTTPS : NonBesoin d'un alias DNS (à créer ou modifier) : NonNetmask : 255.255.255.248VLAN : 3258Gateway : 10.81.130.193IP serveur : 10.81.130.195Action : CréationHébergement du serveur : Central (BLB)Nouveau VLAN : NonService/CI associé au serveur : COORDINATEUR_1G_LINKYBesoin d'envoyer des mails via nos passerelles SMTP : OuiModèle : VMware Virtual PlatformDescription serveur : Coordinateur PROD 1G LINKY</t>
  </si>
  <si>
    <t>S260603_080</t>
  </si>
  <si>
    <t>Nom du serveur : BLB29036Type de serveur : Virtuel (VM)Système d'exploitation du serveur : Debian 13Espace disque du serveur (en Go) : 20 GO sous /home + 60 GO sous /varRAM Serveur (en Go) : 8Nombre de processeur et modèle pour serveur : 4Expression du besoin :  
Bonjour,
Pouvez-vous créer cette machine dans le VLAN: DMZ_Privee VLAN 922.
la machine va remplacer RMM08124,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05/09/2026Matrice de flux : 95165Titre : VM MIGRATION COORD LINKY VALResponsable applicatif : TALMOUDI, Abdelkader - G603655Contact mainteneur : MKADDEM, Oussama - G701089Besoin certificat HTTPS : NonBesoin d'un alias DNS (à créer ou modifier) : NonNetmask : 255.255.255.248VLAN : 3258Gateway : 10.81.130.193IP serveur : 10.81.130.194Action : CréationHébergement du serveur : Central (BLB)Nouveau VLAN : OuiService/CI associé au serveur : COORDINATEUR_1G_LINKYBesoin d'envoyer des mails via nos passerelles SMTP : OuiModèle : VMware Virtual PlatformDescription serveur : Coordinateur VAL 1G LINKYCréation du serveur : OuiCréation serveur en CI : OuiLien CI service-serveur : OuiNom du serveur : BLB29036Type de serveur : Virtuel (VM)Système d'exploitation du serveur : Debian 13Espace disque du serveur (en Go) : 20 GO sous /home + 60 GO sous /varRAM Serveur (en Go) : 8Nombre de processeur et modèle pour serveur : 4Expression du besoin :  
Bonjour,
Pouvez-vous créer cette machine dans le VLAN: DMZ_Privee VLAN 922.
la machine va remplacer RMM08124,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05/09/2026Matrice de flux : 95165Titre : VM MIGRATION COORD LINKY VALResponsable applicatif : TALMOUDI, Abdelkader - G603655Contact mainteneur : MKADDEM, Oussama - G701089Besoin certificat HTTPS : NonBesoin d'un alias DNS (à créer ou modifier) : NonNetmask : 255.255.255.248VLAN : 3258Gateway : 10.81.130.193IP serveur : 10.81.130.194Action : CréationHébergement du serveur : Central (BLB)Nouveau VLAN : OuiService/CI associé au serveur : COORDINATEUR_1G_LINKYBesoin d'envoyer des mails via nos passerelles SMTP : OuiModèle : VMware Virtual PlatformDescription serveur : Coordinateur VAL 1G LINKY</t>
  </si>
  <si>
    <t>S260603_081</t>
  </si>
  <si>
    <t>Nom du serveur : BLB29040Type de serveur : Virtuel (VM)Système d'exploitation du serveur : Debian 13Espace disque du serveur (en Go) : 10 GO sous /home + 10 GO sous /varRAM Serveur (en Go) : 4 GONombre de processeur et modèle pour serveur : 4Expression du besoin :  
Bonjour,
Pouvez-vous créer cette machine dans le VLAN: DMZ_Privee VLAN 922.
la machine va remplacer RMM08408,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22/05/2026Matrice de flux : 95152Titre : VM MIGRATION COORD REGAZ VALResponsable applicatif : TALMOUDI, Abdelkader - G603655Contact mainteneur : MKADDEM, Oussama - G701089Besoin certificat HTTPS : NonBesoin d'un alias DNS (à créer ou modifier) : NonNetmask : 255.255.255.248VLAN : 3006Gateway : 10.81.129.49IP serveur : 10.81.128.53Action : CréationHébergement du serveur : Central (BLB)Nouveau VLAN : NonService/CI associé au serveur : COORDINATEUR_1G_REGAZ_GEGBesoin d'envoyer des mails via nos passerelles SMTP : OuiModèle : VMware Virtual PlatformDescription serveur : Coordinateur VAL 1G REGAZCréation du serveur : OuiCréation serveur en CI : OuiLien CI service-serveur : OuiNom du serveur : BLB29040Type de serveur : Virtuel (VM)Système d'exploitation du serveur : Debian 13Espace disque du serveur (en Go) : 10 GO sous /home + 10 GO sous /varRAM Serveur (en Go) : 4 GONombre de processeur et modèle pour serveur : 4Expression du besoin :  
Bonjour,
Pouvez-vous créer cette machine dans le VLAN: DMZ_Privee VLAN 922.
la machine va remplacer RMM08408,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22/05/2026Matrice de flux : 95152Titre : VM MIGRATION COORD REGAZ VALResponsable applicatif : TALMOUDI, Abdelkader - G603655Contact mainteneur : MKADDEM, Oussama - G701089Besoin certificat HTTPS : NonBesoin d'un alias DNS (à créer ou modifier) : NonNetmask : 255.255.255.248VLAN : 3006Gateway : 10.81.129.49IP serveur : 10.81.128.53Action : CréationHébergement du serveur : Central (BLB)Nouveau VLAN : NonService/CI associé au serveur : COORDINATEUR_1G_REGAZ_GEGBesoin d'envoyer des mails via nos passerelles SMTP : OuiModèle : VMware Virtual PlatformDescription serveur : Coordinateur VAL 1G REGAZ</t>
  </si>
  <si>
    <t>S260603_085</t>
  </si>
  <si>
    <t>Nom du serveur : BLB29031Type de serveur : Virtuel (VM)Système d'exploitation du serveur : Debian 13Espace disque du serveur (en Go) : 10 GO sous /home + 10 GO sous /varRAM Serveur (en Go) : 4 GONombre de processeur et modèle pour serveur : 4Expression du besoin : Bonjour,
Pouvez-vous créer cette machine dans le VLAN: DMZ_Privee VLAN 922.
la machine va remplacer RMM08189, elle doit être dans le même VLAN.
Cordialement,
Imen.Besoin en supervision : OuiBesoin en sauvegarde : OuiDescription de ce qui doit être sauvegardé : sauvegarde machineNature du serveur : VALContact technique : HAMMOUDA, Imen - G361243Besoin réseau : Accès uniquement par SagemcomDate de mise en œuvre souhaitée : 15/05/2026Matrice de flux : 95116Titre : VM MIGRATION COORD ENEXIS VALResponsable applicatif : TALMOUDI, Abdelkader - G603655Contact mainteneur : MKADDEM, Oussama - G701089Besoin certificat HTTPS : NonBesoin d'un alias DNS (à créer ou modifier) : NonNetmask : 255.255.255.248VLAN : 3253Gateway : 10.81.130.153IP serveur : 10.81.130.154Action : CréationHébergement du serveur : Central (BLB)Nouveau VLAN : OuiService/CI associé au serveur : COORDINATEUR_1G_ENEXISBesoin d'envoyer des mails via nos passerelles SMTP : OuiModèle : VMware Virtual PlatformDescription serveur : coordinateur VAL 1G ENEXISCréation du serveur : OuiCréation serveur en CI : OuiLien CI service-serveur : OuiNom du serveur : BLB29031Type de serveur : Virtuel (VM)Système d'exploitation du serveur : Debian 13Espace disque du serveur (en Go) : 10 GO sous /home + 10 GO sous /varRAM Serveur (en Go) : 4 GONombre de processeur et modèle pour serveur : 4Expression du besoin : Bonjour,
Pouvez-vous créer cette machine dans le VLAN: DMZ_Privee VLAN 922.
la machine va remplacer RMM08189, elle doit être dans le même VLAN.
Cordialement,
Imen.Besoin en supervision : OuiBesoin en sauvegarde : OuiDescription de ce qui doit être sauvegardé : sauvegarde machineNature du serveur : VALContact technique : HAMMOUDA, Imen - G361243Besoin réseau : Accès uniquement par SagemcomDate de mise en œuvre souhaitée : 15/05/2026Matrice de flux : 95116Titre : VM MIGRATION COORD ENEXIS VALResponsable applicatif : TALMOUDI, Abdelkader - G603655Contact mainteneur : MKADDEM, Oussama - G701089Besoin certificat HTTPS : NonBesoin d'un alias DNS (à créer ou modifier) : NonNetmask : 255.255.255.248VLAN : 3253Gateway : 10.81.130.153IP serveur : 10.81.130.154Action : CréationHébergement du serveur : Central (BLB)Nouveau VLAN : OuiService/CI associé au serveur : COORDINATEUR_1G_ENEXISBesoin d'envoyer des mails via nos passerelles SMTP : OuiModèle : VMware Virtual PlatformDescription serveur : coordinateur VAL 1G ENEXIS</t>
  </si>
  <si>
    <t>S260603_092</t>
  </si>
  <si>
    <t>AMRI, Slim</t>
  </si>
  <si>
    <t>G700355</t>
  </si>
  <si>
    <t xml:space="preserve">
Accepter      Pour accepter la demande, cliquez simplement sur le bouton d'envoi de ce mail. Ne modifiez pas le texte ci dessous @OPERATION@='SOLVE' @RFC_NUMBER@='S260603_092' @CHOICE@='1'         Rachid BRAHMI            Administrateur Réseaux, Direction des Systèmes d’Information     Adresse postale : 4 Allée des Messageries, 92270 Bois-Colombes Adresse de livraison : Sagemcom chez ExcelCourses, 50 rue Ardoin – Bat B / lot 552, 93400 Saint-Ouen-sur-Seine Tél. : +33 (0)1 57 61 17 29 | Mobile : +33 (0)6 07 56 42 39       Suivez-nous :                            </t>
  </si>
  <si>
    <t>S260603_102</t>
  </si>
  <si>
    <t>IBRAHIM, Mohamed Ali</t>
  </si>
  <si>
    <t>G700961</t>
  </si>
  <si>
    <t>1 x Installation réseau ou téléphone fixe : 0 EURDemande Réseau ou Téléphonie : RéseauBesoin extention cablage reseau : AutreAutre : AVS1désignation : Bonjour,
Notre réseau Sagemcom dans le plateau A1 (position O22) n'est plus fonctionnel. Besoin de le rétablir.
Merci.</t>
  </si>
  <si>
    <t>S260603_104</t>
  </si>
  <si>
    <t>ABDALLAH, Yessine</t>
  </si>
  <si>
    <t>G573497</t>
  </si>
  <si>
    <t>1 x PC accessoires : 0 EUR1 x Clavier : 10 USDN° étiquette du PC (ou modèle) : Dell Optiplex 3080 (P1311121 - 6KLVSC3)Autres accessoires : NonCentre de coût : S250201</t>
  </si>
  <si>
    <t xml:space="preserve">
ancien clavier HS 
demande traitée</t>
  </si>
  <si>
    <t>S260603_114</t>
  </si>
  <si>
    <t>BETTAIEB, Siwar</t>
  </si>
  <si>
    <t>G701049</t>
  </si>
  <si>
    <t>1 x Accès à un partage réseau : 0 EURLien du partage : \\10.206.249.224\SST_AET\VAL_Meters\Package_Python_DevDroits : Lecture/Ecriture</t>
  </si>
  <si>
    <t xml:space="preserve">
Accepter      Pour accepter la demande, cliquez simplement sur le bouton d'envoi de ce mail. Ne modifiez pas le texte ci dessous @OPERATION@='SOLVE' @RFC_NUMBER@='S260603_114' @CHOICE@='1'  
Done </t>
  </si>
  <si>
    <t>S260603_116</t>
  </si>
  <si>
    <t>GHEDIRA, Hanen</t>
  </si>
  <si>
    <t>G507448</t>
  </si>
  <si>
    <t>1 x Prêt matériel informatique : 0 EURFormat : LaptopType : Intégré au domaine SagemcomConfiguration : Configuration développementOS : Socle (Linux domaine sagemcom)Date de début du prêt : 23/06/2026Date de fin de prêt (6 mois maximum) : 23/06/2026Email de validation de son DIR pôle à joindre : Formation GIT_GITLAB.msgComplément d information : Bonjour, 
Nous vous informons que la formation GIT/GITLAB se tiendra le 23 juin à la salle Campus MegrinePour le bon déroulement de cette session nous aurions besoin de :
- 8 Laptops socle / linux
- Flybox ooredoo
Ci-dessous la liste des participants 
Matricule / ID
Nom du stagiaire / Trainee last name
Prénom du stagiaire / Trainee first name
Matricule manager / Manager ID
Nom et prénom du manager du bénéficiaire
Niveau organisationnel / Organisational level
361489
FANDOULI
Islem
360066
JAZI RIMEL
BBS2
700509
FARHANI
Mohamed Aziz
360674
ELLOUMI Mohamed
BBS1
507942
HADJ TAIEB
Wassim
360066
JAZI RIMEL
BBS2
573075
HMILA
Houssem
360066
JAZI RIMEL
BBS2
701126
JEBALI
Abir
360619
Marwa TOUAITI
BBS2
800536
ROUINI
Samy
360674
ELLOUMI Mohamed
BBS1
701304
TALEB ALI
Mariem
360066
JAZI RIMEL
BBS2
801031
MHAMDI
Takieddine
360693
Mohamed ABBES
BBS1
Cordialement 
Hanene</t>
  </si>
  <si>
    <t xml:space="preserve">
a {    text-decoration: none;    color: #464feb; }tr th, tr td {    border: 1px solid #e6e6e6; }tr th {    background-color: #f5f5f5; }a {    text-decoration: none;    color: #464feb; }tr th, tr td {    border: 1px solid #e6e6e6; }tr th {    background-color: #f5f5f5; }Bonjour,Suite à votre retour, cette formation est reportée.Nous allons clôturer cette demande. Nous vous remercions d’en ouvrir une nouvelle avec la nouvelle date.Cordialement.</t>
  </si>
  <si>
    <t>S260603_143</t>
  </si>
  <si>
    <t>TRABELSI, Fedi</t>
  </si>
  <si>
    <t>G700534</t>
  </si>
  <si>
    <t>1 x PC accessoires : 0 EUR1 x Filtre de confidentialité : 27 USDN° étiquette du PC (ou modèle) : P1311777Autres accessoires : NonCentre de coût : S250200</t>
  </si>
  <si>
    <t xml:space="preserve">
 @équipe IT : merci de transmettre la référence du filtre de confidentialité ( 15" / 14" ou 13" ) à BOURAOUI Samir afin qu'il puisse lancer une demande d'achat
bonjourmerci de contacter votre equipe infra bbs cordialement</t>
  </si>
  <si>
    <t>S260603_156</t>
  </si>
  <si>
    <t>BEN LASSOUED, Farah</t>
  </si>
  <si>
    <t>G800449</t>
  </si>
  <si>
    <t>1 x Gestion des flux : 0 EURTitre : Accés au lien du dashboardAction demandée : CréationProjet/Application : Accés au lien du dashboardService/CI associé au serveur : BLB_INFRA_NETWORKSite destination : SST (Tunisie/Megrine)Adresses IP sources : 10.208.131.0 par matriculeAdresses IP destination : 172.30.250.32Port destination : 443</t>
  </si>
  <si>
    <t>S260603_233</t>
  </si>
  <si>
    <t xml:space="preserve"> Titre : Nouveau Cluster LDAPS Action : Création Service/CI associé au serveur : BLB_INFRA_SERVERS Description serveur : 1 VM servant 1 HAProxy Hébergement du serveur : Central (BLB) Type de serveur : Virtuel (VM) Nature du serveur : PROD Système d'exploitation du serveur : ETL Espace disque du serveur (en Go) : 50G RAM Serveur (en Go) : 4G Nombre de processeur et modèle pour serveur : 2G Date de mise en œuvre souhaitée : 08/06/2026 Besoin réseau : Accès uniquement par Sagemcom Matrice de flux : 96600 Besoin en supervision : Oui Besoin en sauvegarde : Oui Description de ce qui doit être sauvegardé : /etc Besoin d'une seconde sauvegarde sur un site distinct de Bois-Colombes : Oui Besoin d'un alias DNS (à créer ou modifier) : Non Besoin certificat HTTPS : Non Besoin d'envoyer des mails via nos passerelles SMTP : Non Responsable applicatif : ALOUI, Rihem - G701677 Contact technique : HAJJEM, Ikbel - G361532 Contact mainteneur : FAIDI, Mohamed Hani - G701325 Expression du besoin : Dans le cadre de la mise en place d’un nouveau cluster LDAPS, nous avons besoin d'une  machines virtuelles (VM) présentant les mêmes caractéristiques techniques ainsi que la même matrice de flux. Nom du serveur : BLB48179 Modèle : VMware Virtual Platform IP serveur : 10.80.171.191 Netmask : 255.255.255.0 Gateway : 10.80.171.1 Nouveau VLAN : Non VLAN : 2010</t>
  </si>
  <si>
    <t xml:space="preserve">
• IP address:          10.80.171.191/24• Description:         VM de prod HA Proxy 2• Hostname:          BLB48179• Subnet:          10.80.171.0/24  (2010 - SRV_ADMIN_ETL)• Netmask:          255.255.255.0• Gateway:         10.80.171.1• VLAN ID:          2010 (SRV_ADMIN_ETL)
A mettre dans les corporates tools RD WW SGC</t>
  </si>
  <si>
    <t>G_R&amp;D_ETL</t>
  </si>
  <si>
    <t>S260603_241</t>
  </si>
  <si>
    <t xml:space="preserve"> Titre : Nouveau Cluster LDAPS Action : Création Service/CI associé au serveur : BLB_INFRA_SERVERS Description serveur : 1 VM servant 1 HAProxy Hébergement du serveur : Central (BLB) Type de serveur : Virtuel (VM) Nature du serveur : PROD Système d'exploitation du serveur : ETL Espace disque du serveur (en Go) : 50G RAM Serveur (en Go) : 4G Nombre de processeur et modèle pour serveur : 2G Date de mise en œuvre souhaitée : 08/06/2026 Besoin réseau : Accès uniquement par Sagemcom Matrice de flux : 96601 Besoin en supervision : Oui Besoin en sauvegarde : Oui Description de ce qui doit être sauvegardé : /etc Besoin d'une seconde sauvegarde sur un site distinct de Bois-Colombes : Oui Besoin d'un alias DNS (à créer ou modifier) : Non Besoin certificat HTTPS : Non Besoin d'envoyer des mails via nos passerelles SMTP : Non Responsable applicatif : ALOUI, Rihem - G701677 Contact technique : HAJJEM, Ikbel - G361532 Contact mainteneur : FAIDI, Mohamed Hani - G701325 Expression du besoin : Dans le cadre de la mise en place d’un nouveau cluster LDAPS, nous avons besoin d'une machine virtuelle  (VM) présentant les mêmes caractéristiques techniques ainsi que la même matrice de flux. Nom du serveur : BLB48178 Modèle : VMware Virtual Platform IP serveur : 10.80.171.190 Netmask : 255.255.255.0 Gateway : 10.80.171.1 Nouveau VLAN : Non VLAN : 2010</t>
  </si>
  <si>
    <t xml:space="preserve">
• IP address:          10.80.171.190/24• Description:         VM de prod HA Proxy 1• Hostname:          BLB48178• Subnet:          10.80.171.0/24  (2010 - SRV_ADMIN_ETL)• Netmask:          255.255.255.0• Gateway:         10.80.171.1• VLAN ID:          2010 (SRV_ADMIN_ETL)
A mettre dans les corporates tools RD WW SGC</t>
  </si>
  <si>
    <t>SGHAIER, Nour</t>
  </si>
  <si>
    <t>G800202</t>
  </si>
  <si>
    <t>S260603_244</t>
  </si>
  <si>
    <t xml:space="preserve"> Titre : Nouveau Cluster LDAPS Action : Création Service/CI associé au serveur : BLB_INFRA_SERVERS Description serveur : 1 VM servant pour ldaps Hébergement du serveur : Central (BLB) Type de serveur : Virtuel (VM) Nature du serveur : PROD Système d'exploitation du serveur : ETL Espace disque du serveur (en Go) : 50G RAM Serveur (en Go) : 8G Nombre de processeur et modèle pour serveur : 4G Date de mise en œuvre souhaitée : 08/06/2026 Besoin réseau : Accès uniquement par Sagemcom Matrice de flux : 96605 Besoin en supervision : Oui Besoin en sauvegarde : Oui Description de ce qui doit être sauvegardé : /var Besoin d'une seconde sauvegarde sur un site distinct de Bois-Colombes : Oui Besoin d'un alias DNS (à créer ou modifier) : Non Besoin certificat HTTPS : Non Besoin d'envoyer des mails via nos passerelles SMTP : Non Responsable applicatif : ALOUI, Rihem - G701677 Contact technique : HAJJEM, Ikbel - G361532 Contact mainteneur : FAIDI, Mohamed Hani - G701325 Expression du besoin : Dans le cadre de la mise en place d’un nouveau cluster LDAPS, nous avons besoin d'une machines virtuelle (VM), Nous avons besoin d’ouvrir le flux sur les ports LDAP et LDAPS (389 et 636) vers les deux instances HAProxy. Nom du serveur : BLB48183 Modèle : VMware Virtual Platform IP serveur : 10.80.171.195 Netmask : 255.255.255.0 Gateway : 10.80.171.1 Nouveau VLAN : Non VLAN : 2010</t>
  </si>
  <si>
    <t xml:space="preserve">
• IP address:          10.80.171.195/24• Description:         VM de prod LDAPS 4• Hostname:          BLB48183• Subnet:          10.80.171.0/24  (2010 - SRV_ADMIN_ETL)• Netmask:          255.255.255.0• Gateway:         10.80.171.1• VLAN ID:          2010 (SRV_ADMIN_ETL)
A mettre dans les corporates tools RD WW SGC</t>
  </si>
  <si>
    <t>S260603_259</t>
  </si>
  <si>
    <t xml:space="preserve"> Titre : Nouveau Cluster LDAPS Action : Création Service/CI associé au serveur : BLB_INFRA_SERVERS Description serveur : 1 VM pour ldaps Hébergement du serveur : Central (BLB) Type de serveur : Virtuel (VM) Nature du serveur : PROD Système d'exploitation du serveur : ETL Espace disque du serveur (en Go) : 50G RAM Serveur (en Go) : 8G Nombre de processeur et modèle pour serveur : 4G Date de mise en œuvre souhaitée : 08/06/2026 Besoin réseau : Accès uniquement par Sagemcom Matrice de flux : 96606 Besoin en supervision : Oui Besoin en sauvegarde : Oui Description de ce qui doit être sauvegardé : /var Besoin d'une seconde sauvegarde sur un site distinct de Bois-Colombes : Oui Besoin d'un alias DNS (à créer ou modifier) : Non Besoin certificat HTTPS : Non Besoin d'envoyer des mails via nos passerelles SMTP : Non Responsable applicatif : ALOUI, Rihem - G701677 Contact technique : HAJJEM, Ikbel - G361532 Contact mainteneur : FAIDI, Mohamed Hani - G701325 Expression du besoin : Dans le cadre de la mise en place d’un nouveau cluster LDAPS, nous avons besoin d'une machines virtuelle (VM), Nous avons besoin d’ouvrir le flux sur les ports LDAP et LDAPS (389 et 636) vers les deux instances HAProxy. Nom du serveur : BLB48182 Modèle : VMware Virtual Platform IP serveur : 10.80.171.194 Netmask : 255.255.255.0 Gateway : 10.80.171.1 Nouveau VLAN : Non VLAN : 2010</t>
  </si>
  <si>
    <t xml:space="preserve">
• IP address:      10.80.171.194/24• Description:     VM de prod LDAPS 3• Hostname:      BLB48182• Subnet:      10.80.171.0/24  (2010 - SRV_ADMIN_ETL)• Netmask:      255.255.255.0• Gateway:     10.80.171.1• VLAN ID:      2010 (SRV_ADMIN_ETL)
A mettre dans les corporates tools RD WW SGC</t>
  </si>
  <si>
    <t>S260603_260</t>
  </si>
  <si>
    <t xml:space="preserve"> Titre : Nouveau Cluster LDAPS Action : Création Service/CI associé au serveur : BLB_INFRA_SERVERS Description serveur : 1 VM pour ldaps Hébergement du serveur : Central (BLB) Type de serveur : Virtuel (VM) Nature du serveur : PROD Système d'exploitation du serveur : ETL Espace disque du serveur (en Go) : 50G RAM Serveur (en Go) : 8G Nombre de processeur et modèle pour serveur : 4G Date de mise en œuvre souhaitée : 08/06/2026 Besoin réseau : Accès uniquement par Sagemcom Matrice de flux : 96609 Besoin en supervision : Oui Besoin en sauvegarde : Oui Description de ce qui doit être sauvegardé : /var Besoin d'une seconde sauvegarde sur un site distinct de Bois-Colombes : Oui Besoin d'un alias DNS (à créer ou modifier) : Non Besoin certificat HTTPS : Non Besoin d'envoyer des mails via nos passerelles SMTP : Non Responsable applicatif : ALOUI, Rihem - G701677 Contact technique : HAJJEM, Ikbel - G361532 Contact mainteneur : FAIDI, Mohamed Hani - G701325 Expression du besoin : Dans le cadre de la mise en place d’un nouveau cluster LDAPS, nous avons besoin d'une machines virtuelle (VM), Nous avons besoin d’ouvrir le flux sur les ports LDAP et LDAPS (389 et 636) vers les deux instances HAProxy. Nom du serveur : BLB48181 Modèle : VMware Virtual Platform IP serveur : 10.80.171.193 Netmask : 255.255.255.0 Gateway : 10.80.171.1 Nouveau VLAN : Non VLAN : 2010</t>
  </si>
  <si>
    <t xml:space="preserve">
• IP address:          10.80.171.193/24• Description:         VM de prod LDAPS 2• Hostname:          BLB48181• Subnet:          10.80.171.0/24  (2010 - SRV_ADMIN_ETL)• Netmask:          255.255.255.0• Gateway:         10.80.171.1• VLAN ID:          2010 (SRV_ADMIN_ETL)
A mettre dans les corporates tools RD WW SGC</t>
  </si>
  <si>
    <t>S260603_263</t>
  </si>
  <si>
    <t xml:space="preserve"> Titre : Nouveau Cluster LDAPS Action : Création Service/CI associé au serveur : BLB_INFRA_SERVERS Description serveur : 1 VM pour LDAPS Hébergement du serveur : Central (BLB) Type de serveur : Virtuel (VM) Nature du serveur : PROD Système d'exploitation du serveur : ETL Espace disque du serveur (en Go) : 50G RAM Serveur (en Go) : 8G Nombre de processeur et modèle pour serveur : 4G Date de mise en œuvre souhaitée : 08/06/2026 Besoin réseau : Accès uniquement par Sagemcom Matrice de flux : 96611 Besoin en supervision : Oui Besoin en sauvegarde : Oui Description de ce qui doit être sauvegardé : /var Besoin d'une seconde sauvegarde sur un site distinct de Bois-Colombes : Oui Besoin d'un alias DNS (à créer ou modifier) : Non Besoin certificat HTTPS : Non Besoin d'envoyer des mails via nos passerelles SMTP : Non Responsable applicatif : ALOUI, Rihem - G701677 Contact technique : HAJJEM, Ikbel - G361532 Contact mainteneur : FAIDI, Mohamed Hani - G701325 Expression du besoin : Dans le cadre de la mise en place d’un nouveau cluster LDAPS, nous avons besoin d'une machines virtuelle (VM), Nous avons besoin d’ouvrir le flux sur les ports LDAP et LDAPS (389 et 636) vers les deux instances HAProxy. Nom du serveur : BLB48180 Modèle : VMware Virtual Platform IP serveur : 10.80.171.192 Netmask : 255.255.255.0 Gateway : 10.80.171.1 Nouveau VLAN : Non VLAN : 2010</t>
  </si>
  <si>
    <t xml:space="preserve">
• IP address:          10.80.171.192/24• Description:         VM de PROD LDAPS 1• Hostname:          BLB48180• Subnet:          10.80.171.0/24  (2010 - SRV_ADMIN_ETL)• Netmask:          255.255.255.0• Gateway:         10.80.171.1• VLAN ID:          2010 (SRV_ADMIN_ETL)
A mettre dans les corporates tools RD WW SGC</t>
  </si>
  <si>
    <t>S260603_274</t>
  </si>
  <si>
    <t>S260604_038</t>
  </si>
  <si>
    <t>1 x PC accessoires : 0 EUR1 x Câble de sécurité : 13.04 USD1 x PC portable alimentation : 20 USD1 x Sac à dos Laptop : 16.7 EURN° étiquette du PC (ou modèle) : p1312482Autres accessoires : NonCentre de coût : S250205</t>
  </si>
  <si>
    <t xml:space="preserve">
Bonjour,Sac a dos est disponible Cdt.</t>
  </si>
  <si>
    <t>S260604_049</t>
  </si>
  <si>
    <t>G801030</t>
  </si>
  <si>
    <t>1 x Groupes AD : 0 EURAction : AffectationGroupe(s) : SCCM_Groupe_Devices_Comanagement / SCCM_Groupe_Devices_Bitlocker &amp; SCOM_LAPS_Intune</t>
  </si>
  <si>
    <t xml:space="preserve">
Bonjour,Les groupes ont été ajoutés.Merci de patienter le temps de synchronisation 2-4h.Cordialement,</t>
  </si>
  <si>
    <t>S260604_091</t>
  </si>
  <si>
    <t>Nom du serveur : BLB28067Type de serveur : Virtuel (VM)Système d'exploitation du serveur : Debian 13Espace disque du serveur (en Go) : 20 GO sous la partion /home + 80 GO pour la partition /varRAM Serveur (en Go) : 4 GONombre de processeur et modèle pour serveur : 4 GOExpression du besoin : Bonjour,
Pouvez-vous créer cette machine dans le VLAN: DMZ_Privee VLAN 922.
la machine va remplacer RMM08195, elle doit être dans le même VLAN.
Cordialement,
Imen.Besoin en supervision : OuiBesoin en sauvegarde : OuiDescription de ce qui doit être sauvegardé : sauvegarde machineNature du serveur : PRODContact technique : HAMMOUDA, Imen - G361243Besoin réseau : Accès uniquement par SagemcomDate de mise en œuvre souhaitée : 22/05/2026Besoin d'une seconde sauvegarde sur un site distinct de Bois-Colombes : NonMatrice de flux : 95115Titre : VM MIGRATION COORD TNB PRODResponsable applicatif : TALMOUDI, Abdelkader - G603655Contact mainteneur : MKADDEM, Oussama - G701089Besoin certificat HTTPS : NonBesoin d'un alias DNS (à créer ou modifier) : NonNetmask : 255.255.255.248VLAN : 3254Gateway : 10.81.130.161IP serveur : 10.81.130.163Action : CréationHébergement du serveur : Central (BLB)Nouveau VLAN : NonService/CI associé au serveur : COORDINATEUR_1G_TNBBesoin d'envoyer des mails via nos passerelles SMTP : OuiModèle : VMware Virtual PlatformDescription serveur : coordinateur PROD 1G TNBCréation du serveur : OuiCréation serveur en CI : OuiLien CI service-serveur : OuiNom du serveur : BLB28067Type de serveur : Virtuel (VM)Système d'exploitation du serveur : Debian 13Espace disque du serveur (en Go) : 20 GO sous la partion /home + 80 GO pour la partition /varRAM Serveur (en Go) : 4 GONombre de processeur et modèle pour serveur : 4 GOExpression du besoin : Bonjour,
Pouvez-vous créer cette machine dans le VLAN: DMZ_Privee VLAN 922.
la machine va remplacer RMM08195, elle doit être dans le même VLAN.
Cordialement,
Imen.Besoin en supervision : OuiBesoin en sauvegarde : OuiDescription de ce qui doit être sauvegardé : sauvegarde machineNature du serveur : PRODContact technique : HAMMOUDA, Imen - G361243Besoin réseau : Accès uniquement par SagemcomDate de mise en œuvre souhaitée : 22/05/2026Besoin d'une seconde sauvegarde sur un site distinct de Bois-Colombes : NonMatrice de flux : 95115Titre : VM MIGRATION COORD TNB PRODResponsable applicatif : TALMOUDI, Abdelkader - G603655Contact mainteneur : MKADDEM, Oussama - G701089Besoin certificat HTTPS : NonBesoin d'un alias DNS (à créer ou modifier) : NonNetmask : 255.255.255.248VLAN : 3254Gateway : 10.81.130.161IP serveur : 10.81.130.163Action : CréationHébergement du serveur : Central (BLB)Nouveau VLAN : NonService/CI associé au serveur : COORDINATEUR_1G_TNBBesoin d'envoyer des mails via nos passerelles SMTP : OuiModèle : VMware Virtual PlatformDescription serveur : coordinateur PROD 1G TNB</t>
  </si>
  <si>
    <t>S260604_106</t>
  </si>
  <si>
    <t>ZIDI, Chiheb Eddine</t>
  </si>
  <si>
    <t>G801222</t>
  </si>
  <si>
    <t>1 x Gestion des flux : 0 EURTitre : Access Request – SC-Ollama ServerProjet/Application : Stage: Assistant IA pour la refonte et l’optimisation  du patrimoine de testsSite destination : SST (Tunisie/Megrine)Adresses IP sources : 10.207.2.175Adresses IP destination : https://sc-ollama-aet.sst.scomPort destination : 443 (HTTPS)</t>
  </si>
  <si>
    <t>MAALOUL, Wallid</t>
  </si>
  <si>
    <t>S260604_119</t>
  </si>
  <si>
    <t>1 x PC accessoires : 0 EURN° étiquette du PC (ou modèle) : P1312820Autres accessoires : OuiAutre (préciser l'équipement et la taille) : CasqueCentre de coût : S250300</t>
  </si>
  <si>
    <t xml:space="preserve">
Bonjour,Demande traité.Cordialement</t>
  </si>
  <si>
    <t>S260604_208</t>
  </si>
  <si>
    <t>BELKHIRIA, Wael</t>
  </si>
  <si>
    <t>G361557</t>
  </si>
  <si>
    <t>1 x PC accessoires : 0 EURN° étiquette du PC (ou modèle) : p1312285Autres accessoires : NonCentre de coût : S250530</t>
  </si>
  <si>
    <t xml:space="preserve">
bonjourcable HDMI est disponiblecordialement</t>
  </si>
  <si>
    <t>S260604_228</t>
  </si>
  <si>
    <t>1 x Gestion des flux : 0 EURTitre : Demande accès_SC_ollamaAction demandée : CréationProjet/Application : projet ollamaSite destination : BLB (France/Bois Colombes)Adresses IP sources : g701258Adresses IP destination : https://ollama-ai.blb.scomPort destination : 443Date de début de la mission : 08/06/2026Date de fin : 01/10/2026</t>
  </si>
  <si>
    <t xml:space="preserve">
Accepter       Pour accepter la demande, cliquez simplement sur le bouton d'envoi de ce mail. Ne modifiez pas le texte ci dessous @OPERATION@='SOLVE' @RFC_NUMBER@='S260604_228' @CHOICE@='1'   </t>
  </si>
  <si>
    <t>S260604_230</t>
  </si>
  <si>
    <t>1 x Gestion des flux : 0 EURTitre : Demande accès SC_nexusAction demandée : CréationProjet/Application : Projet agent IA ollamaSite destination : BLB (France/Bois Colombes)Adresses IP sources : g701258Adresses IP destination : https://nexus-ia.ads.local/repository/pypi/simplePort destination : 443Date de début de la mission : 08/06/2026Date de fin : 01/10/2026</t>
  </si>
  <si>
    <t xml:space="preserve">
Accepter       Pour accepter la demande, cliquez simplement sur le bouton d'envoi de ce mail. Ne modifiez pas le texte ci dessous @OPERATION@='SOLVE' @RFC_NUMBER@='S260604_230' @CHOICE@='1'   </t>
  </si>
  <si>
    <t>S260605_028</t>
  </si>
  <si>
    <t>CHARFI, Ramzi</t>
  </si>
  <si>
    <t>G361002</t>
  </si>
  <si>
    <t>1 x PC Laptop : 0 EUR1 x Laptop light : 845.49 USD1 x Aucun écran :   USD1 x Filtre de confidentialité : 27 USD1 x Aucun sac :   EURType : Intégré au domaine SagemcomConfiguration : Configuration validationOS : WindowsClavier : AZERTYCentre de coût : S250300Email de validation de son DIR pôle à joindre : test.docx</t>
  </si>
  <si>
    <t xml:space="preserve">
Bonjour Demande traitéeS/N:p1313709Os:Windows 11Modele:dell pro 14CdtSANA</t>
  </si>
  <si>
    <t>S260605_050</t>
  </si>
  <si>
    <t>BEN HARIZ, Makrem</t>
  </si>
  <si>
    <t>G361458</t>
  </si>
  <si>
    <t>1 x Accès à un partage réseau : 0 EURLien du partage : sst01002.ads.local/sst_aet/Commun/METERSCRIP/Droits : Lecture</t>
  </si>
  <si>
    <t xml:space="preserve">
le problème d'Access persiste </t>
  </si>
  <si>
    <t>G_IT_INFRA_QSO</t>
  </si>
  <si>
    <t>S260605_066</t>
  </si>
  <si>
    <t>LAOUINI, Tasnim</t>
  </si>
  <si>
    <t>G573167</t>
  </si>
  <si>
    <t>1 x PC accessoires : 0 EUR1 x PC portable alimentation : 20 USDN° étiquette du PC (ou modèle) : P1312648Autres accessoires : NonCentre de coût : S250300</t>
  </si>
  <si>
    <t xml:space="preserve">
@équipe IT : veuillez transmettre la référence du chageur à MCHITA Karim afin qu'il puisse lancer une demande d'achat
Bonjour ,Demande est disponible, veuillez passer au bureau IT Cdt,</t>
  </si>
  <si>
    <t>S260605_099</t>
  </si>
  <si>
    <t>1 x Masterisation d'un poste : 0 EURChoix de l'OS : WindowsDoit-on sauvegarder les données ? : NonNom de l'ancien propriétaire : Mehrez RekikN° de code barre du PC concerné par la masterisation : p3300632Trigramme site (pour hostname PC) : SRTS-P3300632FL</t>
  </si>
  <si>
    <t xml:space="preserve">
bonjourmini pc est disponiblel'os :windows 11cordialement</t>
  </si>
  <si>
    <t>S260605_101</t>
  </si>
  <si>
    <t>1 x Souris : 0 EUR1 x Souris sans fil : 12.65 EURCentre de coût : S250201</t>
  </si>
  <si>
    <t xml:space="preserve">
bonjour souris est disponiblecordialement</t>
  </si>
  <si>
    <t>S260605_146</t>
  </si>
  <si>
    <t>BEL HAJ MAOUIA, Mohamed</t>
  </si>
  <si>
    <t>G573576</t>
  </si>
  <si>
    <t>1 x PC accessoires : 0 EURN° étiquette du PC (ou modèle) : p1312716Autres accessoires : NonCentre de coût : S250200</t>
  </si>
  <si>
    <t xml:space="preserve">
 @équipe IT : si le stock est épuisé,  merci de contacter BOURAOUI Samir pour lancer une demande d'achat
bonjour cable serie est disponiblecordialement</t>
  </si>
  <si>
    <t>S260605_152</t>
  </si>
  <si>
    <t>BENNACEUR, Wijdene</t>
  </si>
  <si>
    <t>G800222</t>
  </si>
  <si>
    <t>1 x Licence Github Copilot (Code Assist) : 0 EURBU : AETGroupe : COPILOT_MEMBER_AET-CompteurModuleCommunCombien de fois pensez-vous utiliser cette licence par mois? : 20Justification : Utiliser l'IA pour générer des scripts de test automatiquesCentre de coût : S250300</t>
  </si>
  <si>
    <t xml:space="preserve">
Accepter      Pour accepter la demande, cliquez simplement sur le bouton d'envoi de ce mail. Ne modifiez pas le texte ci dessous @OPERATION@='SOLVE' @RFC_NUMBER@='S260605_152' @CHOICE@='1'  
Bonjour,        Le droit a été ajoute.        Merci d'attendre le temps de synchro, au moins 2-4 heures.        Cordialement</t>
  </si>
  <si>
    <t>S260605_157</t>
  </si>
  <si>
    <t>SGHAIER, Bacher</t>
  </si>
  <si>
    <t>G700635</t>
  </si>
  <si>
    <t>1 x PC accessoires : 0 EURN° étiquette du PC (ou modèle) : P1311614Autres accessoires : OuiAutre (préciser l'équipement et la taille) : micro casqueCentre de coût : S250201</t>
  </si>
  <si>
    <t xml:space="preserve">
 @équipe IT : si le stock est épuisé, merci de contacter BEN MANSOUR Hakim pour lancer une demande d'achat
bonjourcasque est dispocordialement</t>
  </si>
  <si>
    <t>S260605_164</t>
  </si>
  <si>
    <t>1 x Gestion des flux : 0 EURTitre : Accès Imprimante Site Sousse QSOAction demandée : CréationProjet/Application : Accès Imprimante Site Sousse QSOService/CI associé au serveur : BLB_INFRA_NETWORKSite destination : SST (Tunisie/Megrine)Adresses IP sources : 10.208.249.56Adresses IP destination : 10.208.18.20 et 10.208.18.21Port destination : udp 161 / ping 443Matrice de flux : Matrice_de_Flux_template PRINTER.xlsx</t>
  </si>
  <si>
    <t>S260605_174</t>
  </si>
  <si>
    <t>1 x Gestion des flux : 0 EURTitre : Demande d’accès Flux nexusProjet/Application : Accès au serveur Ollama pour utilisation des agents IA interneSite destination : BLB (France/Bois Colombes)Adresses IP sources : 10.207.2.175Adresses IP destination : https://nexus-ia.ads.local/repository/pypi/simplePort destination : 443</t>
  </si>
  <si>
    <t>S260605_202</t>
  </si>
  <si>
    <t>1 x Gestion des flux : 0 EURTitre : Accées à jenkins14-avs2Action demandée : ModificationProjet/Application : Dashboard VARTService/CI associé au serveur : BLB_INFRA_NETWORKSite destination : BLB (France/Bois Colombes)Adresses IP sources : https://vart.sst.scomAdresses IP destination : https://jenkins14-avs2.etl.scom/lPort destination : 443Date de début de la mission : 05/06/2026Date de fin : 24/07/2027</t>
  </si>
  <si>
    <t>S260605_214</t>
  </si>
  <si>
    <t>KALLEL, Mahmoud</t>
  </si>
  <si>
    <t>G573089</t>
  </si>
  <si>
    <t>1 x Comptes GITIS : 0 EURMétier GITIS : 02_Consultation (membre de la R&amp;D) / Consultation (R&amp;D member)Action demandée : Création (nouveau compte)Environnement : Production (P01)RB Gateways (R&amp;D BBS) : YRK_INTRA_URD_VISU_RB</t>
  </si>
  <si>
    <t xml:space="preserve">
Bonjour,    Le compte a été crée.    Le rôle a été ajouté.    Le nouveau mot de passe vous a été envoyé par mail.    Cordialement
Accepter      Pour accepter la demande, cliquez simplement sur le bouton d'envoi de ce mail. Ne modifiez pas le texte ci dessous @OPERATION@='SOLVE'  @RFC_NUMBER@='S260605_214' @CHOICE@='1'   Téléchargez  Outlook pour iOS  </t>
  </si>
  <si>
    <t>S260608_021</t>
  </si>
  <si>
    <t>ELHAMADI, Aziz</t>
  </si>
  <si>
    <t>G361488</t>
  </si>
  <si>
    <t>1 x Licence IA : 0 EURLicence : Copilot 365Combien de fois pensez-vous utiliser cette licence par mois? : 20Pourquoi Copilot Chat (version GPT-5) ne répond pas à votre besoin ? : Gestion de 8 projets / clients différents, besoin des outils de traitement et de synthèse.Justification : Aziz est un chef de projet produit ENERGY. Aziz n'a pas besoin de Copilot GitHub, il n'est pas SW. Il gère un ensemble des 8 projets / clients avec un lourd historique. Il a besoin d'utiliser Copilot365 afin de maximiser son efficacité dans le traitement des tâches quotidiennes (synthèse de documents et de contextes complexes, traduction, interprétation de normes, traitement de données, analyses d'anomalies systéme / solution, rédaction de document client...etc). </t>
  </si>
  <si>
    <t xml:space="preserve">
Accepter       Pour accepter la demande, cliquez simplement sur le bouton d'envoi de ce mail. Ne modifiez pas le texte ci dessous @OPERATION@='SOLVE' @RFC_NUMBER@='S260608_021' @CHOICE@='1'   </t>
  </si>
  <si>
    <t>S260608_077</t>
  </si>
  <si>
    <t>YAHMEDI, Arij</t>
  </si>
  <si>
    <t>G573278</t>
  </si>
  <si>
    <t>1 x Masterisation d'un poste : 0 EURChoix de l'OS : LinuxDoit-on sauvegarder les données ? : NonNom de l'ancien propriétaire : YAHMEDI ArijN° de code barre du PC concerné par la masterisation : P1307186Trigramme site (pour hostname PC) : srts</t>
  </si>
  <si>
    <t xml:space="preserve">
Bonjour,Desktop est disponible,PI : on a changé ton ancien desktop P1307186 par un autre dell optiplex 3080 P1311947 suite a un problème au niveau de la carte mère Cdt.</t>
  </si>
  <si>
    <t>S260608_096</t>
  </si>
  <si>
    <t>SLAMA, Houssem Eddine</t>
  </si>
  <si>
    <t>G801320</t>
  </si>
  <si>
    <t xml:space="preserve">
 Bonjour, La boîte  individuelle a été créée. Cependant, il faut attendre un délai de 24h-48h avant que celle-ci soit visible dans votre carnet d'adresse. Si passé ce délai, elle n'est toujours pas visible, nous vous invitons à rouvrir la demande. Cordialement</t>
  </si>
  <si>
    <t>S260608_097</t>
  </si>
  <si>
    <t>1 x Groupes AD : 0 EURAction : AffectationGroupe(s) : sst-scretd  //  SCOM-EPM-MediumFlex</t>
  </si>
  <si>
    <t>S260608_129</t>
  </si>
  <si>
    <t>1 x Masterisation d'un poste : 0 EURChoix de l'OS : LinuxDoit-on sauvegarder les données ? : Non</t>
  </si>
  <si>
    <t xml:space="preserve">
Bonjour,Desktop est disponibleOS ubuntu 24.04 P1307744Cdt.</t>
  </si>
  <si>
    <t>S260608_164</t>
  </si>
  <si>
    <t>BIZID, Mohamed Malek</t>
  </si>
  <si>
    <t>G701579</t>
  </si>
  <si>
    <t>1 x PC accessoires : 0 EUR1 x Sac à dos Laptop : 16.7 EURN° étiquette du PC (ou modèle) : P1312803Autres accessoires : NonCentre de coût : S250206</t>
  </si>
  <si>
    <t xml:space="preserve">
Accepter      Pour accepter la demande, cliquez simplement sur le bouton d'envoi de ce mail. Ne modifiez pas le texte ci dessous @OPERATION@='SOLVE' @RFC_NUMBER@='S260608_164' @CHOICE@='1'         Ayada Hassine          Responsable Qualité Environnement SS&amp;T / Responsable bureau d’etude SS&amp;T     2-Information Interne Sagemcom – Interdiction de communiquer en externe sans autorisation  de la direction concernée - Ce document et les informations qu’il contient sont la propriété de Sagemcom. Ils ne doivent pas être reproduits, représentés, divulgués à un/des tiers, ni utilisés à d’autres fins que celles pour lesquelles ils ont été établis  et transmis.     
Bonjour,Demande traité.Cordialement.</t>
  </si>
  <si>
    <t>S260608_193</t>
  </si>
  <si>
    <t>1 x Serveur :   USD Titre : Reporting cockpit PROD Action : Création Service/CI associé au serveur : CORP_BO Description serveur : Reporting cockpit PROD Hébergement du serveur : Central (BLB) Type de serveur : Virtuel (VM) Nature du serveur : PROD Système d'exploitation du serveur : Debian 13 Espace disque du serveur (en Go) : 200Go /home 70Go /var RAM Serveur (en Go) : 16 Nombre de processeur et modèle pour serveur : 4 Date de mise en œuvre souhaitée : 09/06/2026 Besoin réseau : Accès uniquement par Sagemcom Matrice de flux : 96874 Besoin en supervision : Oui Besoin en sauvegarde : Oui Description de ce qui doit être sauvegardé : Sauvegarde de VM Besoin d'une seconde sauvegarde sur un site distinct de Bois-Colombes : Non Besoin d'un alias DNS (à créer ou modifier) : Non Besoin certificat HTTPS : Non Besoin d'envoyer des mails via nos passerelles SMTP : Oui Responsable applicatif : THELJAOUI, Mohamed - G361247 Contact technique : THELJAOUI, Mohamed - G361247 Contact mainteneur : THELJAOUI, Mohamed - G361247 Expression du besoin : Migration de VM Ubuntu 18 vers debain 13.
Ip temporaire pour switch ensuite.
FLux vers les dépots interne svp.
merci Nom du serveur : BLB28072 Modèle : VMware Virtual Platform IP serveur : 10.80.177.190 Netmask : 255.255.255.0 Gateway : 10.80.177.1 Nouveau VLAN : Non VLAN : 2020</t>
  </si>
  <si>
    <t xml:space="preserve">
• IP address:          10.80.177.190/24• Description:         Vm de prod Reporting cockpit IP TEMP• Hostname:          BLB28072• Subnet:          10.80.177.0/24  (2020 - SRV_BURE_2020)• Netmask:          255.255.255.0• Gateway:         10.80.177.1• VLAN ID:          2020 (SRV_BURE_2020)
IP temporaire fournie le temps de la bascule.Pas de flux à ouvrir sur l'ip temporaire.• IP address:          10.80.177.190/24• Description:         Vm de prod Reporting cockpit IP TEMP• Hostname:          BLB28072• Subnet:          10.80.177.0/24  (2020 - SRV_BURE_2020)• Netmask:          255.255.255.0• Gateway:         10.80.177.1• VLAN ID:          2020 (SRV_BURE_2020)
ajout PMAD</t>
  </si>
  <si>
    <t>S260608_207</t>
  </si>
  <si>
    <t>GHARBI, Ghassen</t>
  </si>
  <si>
    <t>G700340</t>
  </si>
  <si>
    <t>1 x PC accessoires : 0 EUR1 x Sac à dos Laptop : 16.7 EURN° étiquette du PC (ou modèle) : P1310782Autres accessoires : NonCentre de coût : S250200</t>
  </si>
  <si>
    <t xml:space="preserve">
 @équipe IT : si le stock est épuisé,  merci de contacter BOURAOUI Samir pour lancer une demande d'achat
bonjoursac a dos est disponiblecordialement</t>
  </si>
  <si>
    <t>S260608_303</t>
  </si>
  <si>
    <t>1 x Serveur : 0 USD Titre : Augmentation de la taille de disque serveur provisionning BBS (factor) Action : Modification Nom du serveur (recherche par nom ou IP) : rmm08778 Serveur non trouvé dans la liste ci-dessus : 0 Modification : Disque supplémentaire (Go) Espace disque du serveur (en Go) : 50 Expression du besoin : Bonjour,
On a besoin d'espace supplémentaire de 50Go dans la partition "home" du serveur (factor.comon).
Cdt,</t>
  </si>
  <si>
    <t>S260608_307</t>
  </si>
  <si>
    <t>1 x Gestion des flux : 0 EURTitre : Flux Coord 1G TNB VAL vers l'ancienne machineAction demandée : CréationProjet/Application : Coord 1G TNB VALService/CI associé au serveur : COORDINATEUR_1G_TNBSite destination : AutreAutre site : rmmAdresses IP sources : 10.81.130.162Adresses IP destination : 10.66.243.245 (décomissionement avant 31/7)Port destination : 22Date de fin : 31/07/2026</t>
  </si>
  <si>
    <t xml:space="preserve">
Bonjour,Demande traitée suite à la validation DSSI effectuée à l'instant.Schedule au 31 juillet 2026 comme demandé.Cdlt,</t>
  </si>
  <si>
    <t>S260609_016</t>
  </si>
  <si>
    <t>1 x Gestion des flux : 0 EURTitre : accés https://vart.sst.scom:8443/  à partir de BLBAction demandée : ModificationProjet/Application : VARTService/CI associé au serveur : BLB_INFRA_NETWORKSite destination : BLB (France/Bois Colombes)Adresses IP sources : R&amp;D AVS dupuis le site de BLBAdresses IP destination : https://vart.sst.scomPort destination : 8433Date de début de la mission : 09/06/2026Date de fin : 30/07/2027</t>
  </si>
  <si>
    <t>S260609_049</t>
  </si>
  <si>
    <t>Nom du serveur : BLB28072RAM Serveur (en Go) : 16Espace disque du serveur (en Go) : 200Go /home 70Go /varSystème d'exploitation du serveur : Debian 13Type de serveur : Virtuel (VM)Nombre de processeur et modèle pour serveur : 4Expression du besoin : Migration de VM Ubuntu 18 vers debain 13.
Ip temporaire pour switch ensuite.
FLux vers les dépots interne svp.
merciBesoin en sauvegarde : OuiDescription de ce qui doit être sauvegardé : Sauvegarde de VMBesoin en supervision : OuiNature du serveur : PRODBesoin réseau : Accès uniquement par SagemcomDate de mise en œuvre souhaitée : 09/06/2026Matrice de flux : 96874Titre : Reporting cockpit PRODContact technique : THELJAOUI, Mohamed - G361247Besoin d'une seconde sauvegarde sur un site distinct de Bois-Colombes : NonResponsable applicatif : THELJAOUI, Mohamed - G361247Contact mainteneur : THELJAOUI, Mohamed - G361247Besoin certificat HTTPS : NonVLAN : 2020Besoin d'un alias DNS (à créer ou modifier) : NonNetmask : 255.255.255.0Gateway : 10.80.177.1IP serveur : 10.80.177.190Action : CréationHébergement du serveur : Central (BLB)Service/CI associé au serveur : CORP_BOModèle : VMware Virtual PlatformNouveau VLAN : NonBesoin d'envoyer des mails via nos passerelles SMTP : OuiDescription serveur : Reporting cockpit PRODCréation du serveur : OuiCréation serveur en CI : OuiLien CI service-serveur : OuiNom du serveur : BLB28072RAM Serveur (en Go) : 16Espace disque du serveur (en Go) : 200Go /home 70Go /varSystème d'exploitation du serveur : Debian 13Type de serveur : Virtuel (VM)Nombre de processeur et modèle pour serveur : 4Expression du besoin : Migration de VM Ubuntu 18 vers debain 13.
Ip temporaire pour switch ensuite.
FLux vers les dépots interne svp.
merciBesoin en sauvegarde : OuiDescription de ce qui doit être sauvegardé : Sauvegarde de VMBesoin en supervision : OuiNature du serveur : PRODBesoin réseau : Accès uniquement par SagemcomDate de mise en œuvre souhaitée : 09/06/2026Matrice de flux : 96874Titre : Reporting cockpit PRODContact technique : THELJAOUI, Mohamed - G361247Besoin d'une seconde sauvegarde sur un site distinct de Bois-Colombes : NonResponsable applicatif : THELJAOUI, Mohamed - G361247Contact mainteneur : THELJAOUI, Mohamed - G361247Besoin certificat HTTPS : NonVLAN : 2020Besoin d'un alias DNS (à créer ou modifier) : NonNetmask : 255.255.255.0Gateway : 10.80.177.1IP serveur : 10.80.177.190Action : CréationHébergement du serveur : Central (BLB)Service/CI associé au serveur : CORP_BOModèle : VMware Virtual PlatformNouveau VLAN : NonBesoin d'envoyer des mails via nos passerelles SMTP : OuiDescription serveur : Reporting cockpit PROD</t>
  </si>
  <si>
    <t>S260609_051</t>
  </si>
  <si>
    <t>Nom du serveur : BLB29030Type de serveur : Virtuel (VM)Système d'exploitation du serveur : Debian 13Espace disque du serveur (en Go) : 10 GO sous /home + 10 GO sous /varRAM Serveur (en Go) : 4 GONombre de processeur et modèle pour serveur : 4Expression du besoin :  
Bonjour,
Pouvez-vous créer cette machine dans le VLAN: DMZ_Privee VLAN 922.
la machine va remplacer RMM08187,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15/05/2026Matrice de flux : 95118Titre : VM MIGRATION COORD SIBELGA VALResponsable applicatif : TALMOUDI, Abdelkader - G603655Contact mainteneur : MKADDEM, Oussama - G701089Besoin certificat HTTPS : NonBesoin d'un alias DNS (à créer ou modifier) : NonNetmask : 255.255.255.248VLAN : 3252Gateway : 10.81.130.144IP serveur : 10.81.130.146Action : CréationHébergement du serveur : Central (BLB)Nouveau VLAN : OuiService/CI associé au serveur : COORDINATEUR_1G_SIBELGABesoin d'envoyer des mails via nos passerelles SMTP : OuiModèle : VMware Virtual PlatformDescription serveur : coordinateur VAL 1G SIBELGACréation du serveur : OuiCréation serveur en CI : OuiLien CI service-serveur : OuiNom du serveur : BLB29030Type de serveur : Virtuel (VM)Système d'exploitation du serveur : Debian 13Espace disque du serveur (en Go) : 10 GO sous /home + 10 GO sous /varRAM Serveur (en Go) : 4 GONombre de processeur et modèle pour serveur : 4Expression du besoin :  
Bonjour,
Pouvez-vous créer cette machine dans le VLAN: DMZ_Privee VLAN 922.
la machine va remplacer RMM08187, elle doit être dans le même VLAN.
Cordialement,
Imen
 Besoin en supervision : OuiBesoin en sauvegarde : OuiDescription de ce qui doit être sauvegardé : sauvegarde machineNature du serveur : VALContact technique : HAMMOUDA, Imen - G361243Besoin réseau : Accès uniquement par SagemcomDate de mise en œuvre souhaitée : 15/05/2026Matrice de flux : 95118Titre : VM MIGRATION COORD SIBELGA VALResponsable applicatif : TALMOUDI, Abdelkader - G603655Contact mainteneur : MKADDEM, Oussama - G701089Besoin certificat HTTPS : NonBesoin d'un alias DNS (à créer ou modifier) : NonNetmask : 255.255.255.248VLAN : 3252Gateway : 10.81.130.144IP serveur : 10.81.130.146Action : CréationHébergement du serveur : Central (BLB)Nouveau VLAN : OuiService/CI associé au serveur : COORDINATEUR_1G_SIBELGABesoin d'envoyer des mails via nos passerelles SMTP : OuiModèle : VMware Virtual PlatformDescription serveur : coordinateur VAL 1G SIBELGA</t>
  </si>
  <si>
    <t>S260609_052</t>
  </si>
  <si>
    <t>KAROUI, Maroua</t>
  </si>
  <si>
    <t>G702000</t>
  </si>
  <si>
    <t>1 x Comptes GITIS : 0 EURMétier GITIS : 02_Consultation (membre de la R&amp;D) / Consultation (R&amp;D member)Action demandée : Modification (ajout de droits)Environnement : Production (P01)AA Compteurs électriques Exports et traditionnels et gaz (R&amp;D produits) : YRK_INTRA_URD_VISU_AAAJ Compteurs d'eau (R&amp;D Grid, Eau et Auto) : YRK_INTRA_URD_VISU_AJ</t>
  </si>
  <si>
    <t xml:space="preserve">
Accepter      Pour accepter la demande, cliquez simplement sur le bouton d'envoi de ce mail. Ne modifiez pas le texte ci dessous @OPERATION@='SOLVE' @RFC_NUMBER@='S260609_052' @CHOICE@='1'         Ayada Hassine          Responsable Qualité Environnement SS&amp;T / Responsable bureau d’etude SS&amp;T     2-Information Interne Sagemcom – Interdiction de communiquer en externe sans autorisation  de la direction concernée - Ce document et les informations qu’il contient sont la propriété de Sagemcom. Ils ne doivent pas être reproduits, représentés, divulgués à un/des tiers, ni utilisés à d’autres fins que celles pour lesquelles ils ont été établis  et transmis.     
Bonjour,Les rôles ont été ajoutés.Cordialement</t>
  </si>
  <si>
    <t>S260609_054</t>
  </si>
  <si>
    <t>BEN NACIB, Rami</t>
  </si>
  <si>
    <t>G801321</t>
  </si>
  <si>
    <t>S260609_055</t>
  </si>
  <si>
    <t>1 x Groupes AD : 0 EURAction : AffectationGroupe(s) : SST-SCRetD</t>
  </si>
  <si>
    <t xml:space="preserve">
groupe ajouté </t>
  </si>
  <si>
    <t>S260609_063</t>
  </si>
  <si>
    <t>1 x Gestion des flux : 0 EURTitre : Accès ZabbixAction demandée : CréationProjet/Application : Accès ZabbixService/CI associé au serveur : BLB_INFRA_NETWORKSite destination : AutreAutre site : QSOAdresses IP sources : g801030Adresses IP destination : 10.207.7.50  / 10.206.249.164Port destination : 443</t>
  </si>
  <si>
    <t>S260609_082</t>
  </si>
  <si>
    <t xml:space="preserve">1 x Serveur :   USD Titre : RMM08897 ajout disque Action : Modification Nom du serveur (recherche par nom ou IP) : rmm08897 Serveur non trouvé dans la liste ci-dessus : 0 Modification : Disque supplémentaire (Go) Espace disque du serveur (en Go) : 500 Expression du besoin : Bonjour,
Nous avons besoin d’ajouter 500 Go sur la partition /var.
Cordialement,
 </t>
  </si>
  <si>
    <t xml:space="preserve">
Traité par T.Carotine</t>
  </si>
  <si>
    <t>OUNAIS, Sarra</t>
  </si>
  <si>
    <t>G801328</t>
  </si>
  <si>
    <t>OUNAIS, Syrine</t>
  </si>
  <si>
    <t>G801329</t>
  </si>
  <si>
    <t>S260609_107</t>
  </si>
  <si>
    <t>1 x PC accessoires : 0 EUR1 x Sac à dos Laptop : 16.7 EURN° étiquette du PC (ou modèle) : DELL (P1311504)Autres accessoires : NonCentre de coût : S250200</t>
  </si>
  <si>
    <t xml:space="preserve">
 @équipe IT : si le stock est épuisé,  merci de contacter BOURAOUI Samir pour lancer une demande d'achat
bonjoursac a dos est dispocordialement</t>
  </si>
  <si>
    <t>S260609_137</t>
  </si>
  <si>
    <t>IBRAHIM, Fathi</t>
  </si>
  <si>
    <t>G545697</t>
  </si>
  <si>
    <t xml:space="preserve">
Accepter      Pour accepter la demande, cliquez simplement sur le bouton d'envoi de ce mail. Ne modifiez pas le texte ci dessous @OPERATION@='SOLVE' @RFC_NUMBER@='S260609_137' @CHOICE@='1'         Rachid BRAHMI            Administrateur Réseaux, Direction des Systèmes d’Information     Adresse postale : 4 Allée des Messageries, 92270 Bois-Colombes Adresse de livraison : Sagemcom chez ExcelCourses, 50 rue Ardoin – Bat B / lot 552, 93400 Saint-Ouen-sur-Seine Tél. : +33 (0)1 57 61 17 29 | Mobile : +33 (0)6 07 56 42 39       Suivez-nous :                            </t>
  </si>
  <si>
    <t>S260609_178</t>
  </si>
  <si>
    <t>HAJJEM, Ikbel</t>
  </si>
  <si>
    <t>G361532</t>
  </si>
  <si>
    <t>1 x Gestion des flux : 0 EURTitre : grafana connection to gitlab DBAction demandée : CréationProjet/Application : Grafana ETLService/CI associé au serveur : BLB_INFRA_NETWORKSite destination : BLB (France/Bois Colombes)Adresses IP sources : 10.80.171.81Adresses IP destination : 10.80.185.10  10.206.248.244Port destination : 5432</t>
  </si>
  <si>
    <t>S260609_183</t>
  </si>
  <si>
    <t>1 x Gestion des flux : 0 EURTitre : grafana tools connection to gitlab DBAction demandée : CréationProjet/Application : Grafana ETL ToolsService/CI associé au serveur : BLB_INFRA_NETWORKSite destination : BLB (France/Bois Colombes)Adresses IP sources : 10.80.171.92Adresses IP destination : 10.80.185.10 10.206.248.244Port destination : 5432</t>
  </si>
  <si>
    <t>S260609_187</t>
  </si>
  <si>
    <t>BOUKHICHA, Oussama</t>
  </si>
  <si>
    <t>G507788</t>
  </si>
  <si>
    <t>1 x Licence Github Copilot (Code Assist) : 0 EURBU : AETGroupe : COPILOT_MEMBER_AET_VALIDATIONCombien de fois pensez-vous utiliser cette licence par mois? : 10Justification : Besoin pour améliorer les outils de gestion et de suivi projet Centre de coût : S250300</t>
  </si>
  <si>
    <t xml:space="preserve">
Accepter       Pour accepter la demande, cliquez simplement sur le bouton d'envoi de ce mail. Ne modifiez pas le texte ci dessous @OPERATION@='SOLVE' @RFC_NUMBER@='S260609_187' @CHOICE@='1'   
Bonjour,        Le droit a été ajoute.        Merci d'attendre le temps de synchro, au moins 2-4 heures.        Cordialement</t>
  </si>
  <si>
    <t>S260609_200</t>
  </si>
  <si>
    <t>1 x PC Laptop : 0 EUR1 x Laptop reconditionné :   EUR1 x Aucun écran :   USD1 x Câble de sécurité : 13.04 USD1 x Filtre de confidentialité : 27 USD1 x Aucun sac :   EURType : Intégré au domaine SagemcomConfiguration : Configuration androidOS : Socle (Linux domaine sagemcom)Clavier : AZERTYCentre de coût : S250201Email de validation de son DIR pôle à joindre : RE Demande Laptop pour Télétravail.msg</t>
  </si>
  <si>
    <t xml:space="preserve">
bonjourlaptop est disponibleS/N:4TL1833l'os :socle 12cordialement</t>
  </si>
  <si>
    <t>S260610_037</t>
  </si>
  <si>
    <t>1 x Gestion des flux : 0 EURTitre : Demande d'ouverture de flux, pour les 22 VMs : flux SSH de nouvelle VM vers l'ancienne VMAction demandée : CréationProjet/Application : 1GService/CI associé au serveur : COORDINATEUR_1G_TNBSite destination : BLB (France/Bois Colombes)Adresses IP sources : BLB29030\BLB28065\BLB29040\BLB29031\BLB28066\BLB28064\BLB29033\BLB28068\BLB29039\BLB29036\BLB28060\BLB29034\BLB28058\BLB29032\BLB28067\BLB28063\BLB29035\BLB28059\BLB29038\BLB28062\BLB29037\BLB28061Adresses IP destination : RMM08187\RMM08184\RMM08408\RMM08189\RMM08182\RMM08409\RMM08186\RMM08183\RMM08139\RMM08124\RMM08125\RMM08212\RMM08213\RMM08194\RMM08195\RMM08150\RMM08375\RMM08376\RMM08417\RMM08418\RMM08450\RMM08451Port destination : 22Matrice de flux : matrice_de_flux.xlsx</t>
  </si>
  <si>
    <t xml:space="preserve">
Bonjour Imen,Je te confirme que je viens de traiter ta demande askit S260610_037 en me basant sur le fichier que tu m'as fourni "VMs-request".J'ai ouvert les flux en SSH depuis les nouvelles IP en 10.81.x.x vers les anciennes IP en 10.66.243.x avec un "schedule" qui prendra fin le 30 septembre 2026. Pour la date je me suis basé sur le fichier de migration d'origine contenant ton planning de migration.Merci de retester si c'est ok dorénavant.Pour répondre à ta question : "pouvez-vous également nous communiquer la liste des subnets qui vont disparaître ?" Ce sont les anciens subnets en DMZ qui vont à termes disparaître 10.66.243.x et 10.66.246.x.Cordialement,</t>
  </si>
  <si>
    <t>S260610_050</t>
  </si>
  <si>
    <t>S260610_052</t>
  </si>
  <si>
    <t>1 x Groupes AD : 0 EURAction : AffectationGroupe(s) : sst-scretd</t>
  </si>
  <si>
    <t>S260610_053</t>
  </si>
  <si>
    <t>S260610_054</t>
  </si>
  <si>
    <t>S260610_056</t>
  </si>
  <si>
    <t>BELHAJ, Hiba</t>
  </si>
  <si>
    <t>G700922</t>
  </si>
  <si>
    <t xml:space="preserve">
bonjourlaptop est disponibleS/N:1Q46Z33l'os :socle12cordialement   </t>
  </si>
  <si>
    <t>S260610_077</t>
  </si>
  <si>
    <t>1 x PC accessoires : 0 EURN° étiquette du PC (ou modèle) : p1310782Autres accessoires : OuiAutre (préciser l'équipement et la taille) : casqueCentre de coût : S250200</t>
  </si>
  <si>
    <t>S260610_081</t>
  </si>
  <si>
    <t>BENHASSINE, Nouha</t>
  </si>
  <si>
    <t>G701093</t>
  </si>
  <si>
    <t xml:space="preserve">
bonjoursouris est dispocordialement  </t>
  </si>
  <si>
    <t>S260610_086</t>
  </si>
  <si>
    <t xml:space="preserve">
Accepter      Pour accepter la demande, cliquez simplement sur le bouton d'envoi de ce mail. Ne modifiez pas le texte ci dessous @OPERATION@='SOLVE' @RFC_NUMBER@='S260610_086' @CHOICE@='1'         Rachid BRAHMI            Administrateur Réseaux, Direction des Systèmes d’Information     Adresse postale : 4 Allée des Messageries, 92270 Bois-Colombes Adresse de livraison : Sagemcom chez ExcelCourses, 50 rue Ardoin – Bat B / lot 552, 93400 Saint-Ouen-sur-Seine Tél. : +33 (0)1 57 61 17 29 | Mobile : +33 (0)6 07 56 42 39       Suivez-nous :                            
Accepter      Pour accepter la demande, cliquez simplement sur le bouton d'envoi de ce mail. Ne modifiez pas le texte ci dessous @OPERATION@='SOLVE' @RFC_NUMBER@='S260610_086' @CHOICE@='1'  </t>
  </si>
  <si>
    <t>S260610_098</t>
  </si>
  <si>
    <t>1 x Demande de certificat / Keytab : 0 EURType de demande : CertificatNom DNS souhaité : tnbval.comon</t>
  </si>
  <si>
    <t xml:space="preserve">
Here is a single use link to your files : https://ots.comon/?4a310ac7aba47e81#7Jx5AbaQqnm54cewcnooVRqP5QKwG73qUCTGQDdrXzsbThe access password is: jcYb9F2fdXCh</t>
  </si>
  <si>
    <t>S260610_106</t>
  </si>
  <si>
    <t>ABBES, Mohamed</t>
  </si>
  <si>
    <t>G360693</t>
  </si>
  <si>
    <t>1 x Masterisation d'un poste : 0 EURChoix de l'OS : WindowsDoit-on sauvegarder les données ? : NonNom de l'ancien propriétaire : Mohamed Abbes ( g360693)N° de code barre du PC concerné par la masterisation : P3300620Trigramme site (pour hostname PC) : g360693rts</t>
  </si>
  <si>
    <t xml:space="preserve">
bonjour mini pc est disponiblel'os : Windows 11 cordialement </t>
  </si>
  <si>
    <t>S260610_126</t>
  </si>
  <si>
    <t>NAILI, Kamel</t>
  </si>
  <si>
    <t>G545406</t>
  </si>
  <si>
    <t>1 x Masterisation d'un poste : 0 EURChoix de l'OS : LinuxDoit-on sauvegarder les données ? : OuiNom de l'ancien propriétaire : NAILI KAMELN° de code barre du PC concerné par la masterisation : P1311188Trigramme site (pour hostname PC) : XXXXXXXXX</t>
  </si>
  <si>
    <t xml:space="preserve">
bonjour merci d'amener le pc au bureau IT cordialement</t>
  </si>
  <si>
    <t>S260610_127</t>
  </si>
  <si>
    <t>NAIMI, Houssem</t>
  </si>
  <si>
    <t>G800556</t>
  </si>
  <si>
    <t>1 x Licence Github Copilot (Code Assist) : 0 EURBU : AETGroupe : COPILOT_MEMBER_AET_SICONIAHESCombien de fois pensez-vous utiliser cette licence par mois? : 100Justification : Je souhaite demander une licence Github CopilotCentre de coût : S250300</t>
  </si>
  <si>
    <t>S260610_128</t>
  </si>
  <si>
    <t>OTHMEN, Soumaya</t>
  </si>
  <si>
    <t>G800379</t>
  </si>
  <si>
    <t>1 x Licence Github Copilot (Code Assist) : 0 EURBU : AETGroupe : COPILOT_MEMBER_AET_SICONIAHESCombien de fois pensez-vous utiliser cette licence par mois? : 120Justification : Bonjour,Je souhaiterais bénéficier d’une licence Copilot.Merci Cordialement,Centre de coût : S250300</t>
  </si>
  <si>
    <t>S260610_139</t>
  </si>
  <si>
    <t>AOUN, Tawfik</t>
  </si>
  <si>
    <t>G800184</t>
  </si>
  <si>
    <t>1 x Demande informatique hors catalogue : 0 EURMerci de préciser votre besoin : MatérielType de matériel : AutreAutre matériel : cable ethernetDescription : bonjour,j´ai besoin d´un cable ethernet RJ45 de 2m.Merci.Centre de coût : S250300</t>
  </si>
  <si>
    <t>S260610_146</t>
  </si>
  <si>
    <t>CHAOUCH, Adel</t>
  </si>
  <si>
    <t>G360729</t>
  </si>
  <si>
    <t>1 x Messagerie - Bal de Services, diffusions : 0 EURType de demande : Liste de diffusionAction : ModificationNom de la liste : Water_Meter_SW_DEV@sagemcom.comResponsable de la liste : CHAOUCH, AdelUsage restreint (ne peut être utilisée que par une liste d'utilisateurs définis) : nonUtilisateurs autorisés : Ajout des  collaborateurs suibvants dans ce mailing list :zeineb.romdhane-ext@sagemcom.commohamed.sebri@sagemcom.comnidhal.brahem@sagemcom.comasma.abidalli@sagemcom.comlazhar.dhib@sagemcom.commontassar.azaiez@sagemcom.commohamed-thabet.fradi@sagemcom.com</t>
  </si>
  <si>
    <t xml:space="preserve">
Bonjour,Le nécessaire a été fait, sauf pour mohamed.sebri@sagemcom.com qui n'as pas d'adresse e-mail.Bien cordialement</t>
  </si>
  <si>
    <t>S260610_152</t>
  </si>
  <si>
    <t>1 x Messagerie - Bal de Services, diffusions : 0 EURType de demande : Liste de diffusionAction : ModificationNom de la liste : Water_Meter_SW_Cdp@sagemcom.comResponsable de la liste : CHAOUCH, AdelUsage restreint (ne peut être utilisée que par une liste d'utilisateurs définis) : nonUtilisateurs autorisés : Ajout du collaborateur suivant dans la liste de diffusion zeineb.romdhane-ext@sagemcom.com</t>
  </si>
  <si>
    <t xml:space="preserve">
Bonjour,L'ajout a ete fait.Cordialement</t>
  </si>
  <si>
    <t>S260610_187</t>
  </si>
  <si>
    <t>Nom du serveur : QSO18012Type de serveur : Virtuel (VM)Système d'exploitation du serveur : Debian 12Espace disque du serveur (en Go) : 50GBRAM Serveur (en Go) : 6Nombre de processeur et modèle pour serveur : 4Expression du besoin : Dans le cadre de la sécurisation de l'authentification vers les switch reseau, on passe par le serveur radius pour faire l'authetificationBesoin en supervision : OuiBesoin en sauvegarde : OuiDescription de ce qui doit être sauvegardé : vm freeradius- QSOTemps d’interruption maximal pour des opérations de maintenance : 5 minNature du serveur : PRODContact technique : BEHI, Walid - G361185Besoin réseau : Accès uniquement par SagemcomDate de mise en œuvre souhaitée : 07/04/2026Besoin d'une seconde sauvegarde sur un site distinct de Bois-Colombes : NonMatrice de flux : 92633Titre : Free-radius  -QSOResponsable applicatif : BEHI, Walid - G361185Contact mainteneur : BEHI, Walid - G361185Besoin certificat HTTPS : OuiBesoin d'un alias DNS (à créer ou modifier) : NonNetmask : 10.208.246.1VLAN : 246Gateway : 255.255.255.0IP serveur : 10.208.246.218Action : CréationHébergement du serveur : Sur site distantNouveau VLAN : NonService/CI associé au serveur : SST_INFRA_SERVERS_RSIBesoin d'envoyer des mails via nos passerelles SMTP : NonModèle : VMware Virtual PlatformDescription serveur : vm freeradius-QSOLocalisation : SST - Megrine/SousseCréation du serveur : OuiCréation serveur en CI : OuiLien CI service-serveur : OuiNom du serveur : QSO18012Type de serveur : Virtuel (VM)Système d'exploitation du serveur : Debian 12Espace disque du serveur (en Go) : 50GBRAM Serveur (en Go) : 6Nombre de processeur et modèle pour serveur : 4Expression du besoin : Dans le cadre de la sécurisation de l'authentification vers les switch reseau, on passe par le serveur radius pour faire l'authetificationBesoin en supervision : OuiBesoin en sauvegarde : OuiDescription de ce qui doit être sauvegardé : vm freeradius- QSOTemps d’interruption maximal pour des opérations de maintenance : 5 minNature du serveur : PRODContact technique : BEHI, Walid - G361185Besoin réseau : Accès uniquement par SagemcomDate de mise en œuvre souhaitée : 07/04/2026Besoin d'une seconde sauvegarde sur un site distinct de Bois-Colombes : NonMatrice de flux : 92633Titre : Free-radius  -QSOResponsable applicatif : BEHI, Walid - G361185Contact mainteneur : BEHI, Walid - G361185Besoin certificat HTTPS : OuiBesoin d'un alias DNS (à créer ou modifier) : NonNetmask : 10.208.246.1VLAN : 246Gateway : 255.255.255.0IP serveur : 10.208.246.218Action : CréationHébergement du serveur : Sur site distantNouveau VLAN : NonService/CI associé au serveur : SST_INFRA_NETWORK_SIBesoin d'envoyer des mails via nos passerelles SMTP : NonModèle : VMware Virtual PlatformDescription serveur : vm freeradius-QSOLocalisation : SST - Megrine/Sousse</t>
  </si>
  <si>
    <t>S260610_194</t>
  </si>
  <si>
    <t>BEN ARBIA, Brahim</t>
  </si>
  <si>
    <t>G361341</t>
  </si>
  <si>
    <t>1 x Gestion des flux : 0 EURTitre : Ouverture du flux: nœud rmm08148.rmm.scom (10.80.185.73) vers https://osv-vulnerabilities.storage.googleapis.comAction demandée : CréationProjet/Application : SWSSite destination : BLB (France/Bois Colombes)Adresses IP sources : rmm08148.rmm.scom 10.80.185.73  (https://jenkins4-avs1.rmm.scom)Adresses IP destination : https://osv-vulnerabilities.storage.googleapis.comPort destination : 443Date de début de la mission : 10/06/2026</t>
  </si>
  <si>
    <t xml:space="preserve">
Attention, elle remonte à la date du 12/6/26. Plus de contact depuis 3 jours !!!
Pour quelle raison elle ne remontait plus dans la console ?</t>
  </si>
  <si>
    <t>S260610_197</t>
  </si>
  <si>
    <t>1 x Gestion des flux : 0 EURTitre : Ouverture du flux: nœud rmm08148.rmm.scom (10.80.185.73) vers https://epss.cyentia.comAction demandée : CréationProjet/Application : SWSSite destination : BLB (France/Bois Colombes)Adresses IP sources : rmm08148.rmm.scom 10.80.185.73 (https://jenkins4-avs1.rmm.scom)Adresses IP destination : https://epss.cyentia.comPort destination : 443Date de début de la mission : 10/06/2026</t>
  </si>
  <si>
    <t>S260610_198</t>
  </si>
  <si>
    <t>1 x Gestion des flux : 0 EURTitre : Ouverture du flux: nœud rmm08148.rmm.scom (10.80.185.73) vers https://www.cisa.govAction demandée : CréationProjet/Application : SWSSite destination : BLB (France/Bois Colombes)Adresses IP sources : rmm08148.rmm.scom 10.80.185.73 (https://jenkins4-avs1.rmm.scom)Adresses IP destination : https://www.cisa.govPort destination : 443Date de début de la mission : 10/06/2026</t>
  </si>
  <si>
    <t>S260610_199</t>
  </si>
  <si>
    <t>1 x Gestion des flux : 0 EURTitre : Ouverture du flux: nœud rmm08148.rmm.scom (10.80.185.73) vers https://nvd.nist.govAction demandée : CréationProjet/Application : SWSSite destination : BLB (France/Bois Colombes)Adresses IP sources : rmm08148.rmm.scom 10.80.185.73 (https://jenkins4-avs1.rmm.scom)Adresses IP destination : https://nvd.nist.govPort destination : 443</t>
  </si>
  <si>
    <t>S260610_204</t>
  </si>
  <si>
    <t>TOUMI, Sahar</t>
  </si>
  <si>
    <t>G360707</t>
  </si>
  <si>
    <t xml:space="preserve">
​iphone pré-enrolé</t>
  </si>
  <si>
    <t>S260610_208</t>
  </si>
  <si>
    <t>BEN AMOR, Mohamed Koussaï</t>
  </si>
  <si>
    <t>G360387</t>
  </si>
  <si>
    <t>S260610_224</t>
  </si>
  <si>
    <t>1 x PC accessoires : 0 EUR1 x Câble de sécurité : 13.04 USDN° étiquette du PC (ou modèle) : P1310512Autres accessoires : NonCentre de coût : S250300</t>
  </si>
  <si>
    <t xml:space="preserve">
@équipe IT : si le stock est épuisé , merci de transmettre la référence de cable de sécurité ( ref : Twin Clicksafe Master keyed Lock for All )  à BOURAOUI Samir afin qu'il puisse lancer une demande d'achat
Bonjour,Demande annulée par l'utilisateur Cdt,</t>
  </si>
  <si>
    <t>S260610_225</t>
  </si>
  <si>
    <t>1 x Infrastructure Cloud : 0 EURTitre : Configuration SAML pour base doc valEntité/service : ITEnvironnement : Development/Integration/TestType d'accès : Sagemcom interneCommunication avec réseau Sagemcom : OuiType de service : VM Linux</t>
  </si>
  <si>
    <t xml:space="preserve">
Bonjour 
déjà traité.
cdt
cette appli a été déjà créé en 
basedocval.comon</t>
  </si>
  <si>
    <t>S260610_243</t>
  </si>
  <si>
    <t>1 x Serveur : 0 USD Titre : Augmentation de nombre de processeur pour activiti.comon Action : Modification Nom du serveur (recherche par nom ou IP) : BLB28025 Serveur non trouvé dans la liste ci-dessus : 0 Modification : Nb de processeur supplementaire Nombre de processeur et modèle pour serveur : 4</t>
  </si>
  <si>
    <t>G_IT_SC_WEB</t>
  </si>
  <si>
    <t>S260610_244</t>
  </si>
  <si>
    <t>SELLAMI, Malek</t>
  </si>
  <si>
    <t>G700857</t>
  </si>
  <si>
    <t>1 x Gestion des flux : 0 EURTitre : Création du fluxAction demandée : CréationProjet/Application : MCISite destination : BLB (France/Bois Colombes)Adresses IP sources : 10.206.249.47Adresses IP destination : 10.80.189.62Port destination : 22Matrice de flux : Matrice_de_Flux_template (1).xlsx</t>
  </si>
  <si>
    <t>S260610_268</t>
  </si>
  <si>
    <t xml:space="preserve">1 x Prêt matériel informatique : 0 EURFormat : LaptopType : Intégré au domaine SagemcomConfiguration : Configuration validationOS : Linux (poste de test)Date de début du prêt : 07/07/2026Date de fin de prêt (6 mois maximum) : 07/07/2026Email de validation de son DIR pôle à joindre : Formation EasyMesh.msgComplément d information : Bonjour, 
Nous vous informons que la formation EasyMesh se tiendra le 07 juillet à la salle D05Pour le bon déroulement de cette session nous aurions besoin de :
- 11 Laptops linux
- Flybox ooredoo
ci-dessous la liste des participants 
Matricule 
Nom 
Prénom
700535
MELKI
Syrine
551173
MILED
Marwa
701117
TOUATI
Rihab
701956
NEIFAR
Abdallah
701337
BEN SALEM
Yasmine
701345
HACHICHA
Mohamed
700990
ZELLAMA
Asma
702438
BANNOUR
Rihab
551049
AYARI
Mohamed
800549
CHEBBI
Fatma
700968
CHNAINIA
Zeineb
Merci 
Cordialement 
Amal
 </t>
  </si>
  <si>
    <t>S260611_027</t>
  </si>
  <si>
    <t>1 x PC accessoires : 0 EURN° étiquette du PC (ou modèle) : P1312280Autres accessoires : OuiAutre (préciser l'équipement et la taille) : CASQUECentre de coût : S250206</t>
  </si>
  <si>
    <t>S260611_124</t>
  </si>
  <si>
    <t>1 x Messagerie individuelle : 0 EURAction : ModificationComplément d information : Bonjour,Suite à la désactivation du compte de la collaboratrice SEBRI, Mohamed (g800557).merci de bien vouloir réactiver ses accès Outlook et Teams en conservant l’intégralité de son historique.Cordialement.</t>
  </si>
  <si>
    <t xml:space="preserve">
Aucune ancien compte supprimé recensé, c'est donc le même compte qui a été utilisé donc l'historique des mails est déjà présent</t>
  </si>
  <si>
    <t>S260611_132</t>
  </si>
  <si>
    <t>HORRY, Oumaima</t>
  </si>
  <si>
    <t>G801332</t>
  </si>
  <si>
    <t>S260611_134</t>
  </si>
  <si>
    <t>S260611_137</t>
  </si>
  <si>
    <t>NMIRI, Chams</t>
  </si>
  <si>
    <t>G801331</t>
  </si>
  <si>
    <t xml:space="preserve">
Bonjour, La boîte  individuelle a été créée. Cependant, il faut attendre un délai de 24h-48h avant que celle-ci soit visible dans votre carnet d'adresse. Si passé ce délai, elle n'est toujours pas visible, nous vous invitons à rouvrir la demande. Cordialement</t>
  </si>
  <si>
    <t>S260611_138</t>
  </si>
  <si>
    <t xml:space="preserve">
Bonjour,Le groupe a été ajouté.Merci d’attendre le temps de synchronisation environ 2h.Cordialement,</t>
  </si>
  <si>
    <t>S260611_164</t>
  </si>
  <si>
    <t>TRABELSI, Walid</t>
  </si>
  <si>
    <t>G801105</t>
  </si>
  <si>
    <t>1 x PC Desktop : 0 USD1 x Desktop reconditionné :   USD1 x Aucun écran :   USDType : TestConfiguration : Configuration validationOS : WindowsClavier : AZERTYCentre de coût : S250300</t>
  </si>
  <si>
    <t xml:space="preserve">
Accepter      Pour accepter la demande, cliquez simplement sur le bouton d'envoi de ce mail. Ne modifiez pas le texte ci dessous @OPERATION@='SOLVE' @RFC_NUMBER@='S260611_164' @CHOICE@='1'  
Bonjour,Demande traité.Cordialement.</t>
  </si>
  <si>
    <t>S260611_191</t>
  </si>
  <si>
    <t>1 x Demande de certificat / Keytab : 0 EURType de demande : CertificatNom DNS souhaité : estagval.comon</t>
  </si>
  <si>
    <t xml:space="preserve">
Here is a single use link to your files : https://ots.comon/?927e75d438ea638e#3VKdk3CaBD7EgETU5KRFN15A3vAU8Qw4ybwpL79p31gAThe access password is: 7YOpSg5AOrNJ</t>
  </si>
  <si>
    <t>S260611_278</t>
  </si>
  <si>
    <t>CHEBAANE, Zeineb</t>
  </si>
  <si>
    <t>G701264</t>
  </si>
  <si>
    <t>1 x PC accessoires : 0 EURN° étiquette du PC (ou modèle) : P1311829Autres accessoires : OuiAutre (préciser l'équipement et la taille) : CasqueCentre de coût : S250300</t>
  </si>
  <si>
    <t xml:space="preserve">
Accepter      Pour accepter la demande, cliquez simplement sur le bouton d'envoi de ce mail. Ne modifiez pas le texte ci dessous @OPERATION@='SOLVE' @RFC_NUMBER@='S260611_278' @CHOICE@='1'  
Bonjour,Demande traité.Cordialement.</t>
  </si>
  <si>
    <t>S260612_020</t>
  </si>
  <si>
    <t>1 x PC accessoires : 0 EUR1 x Clavier : 10 USDN° étiquette du PC (ou modèle) : P1307312Autres accessoires : OuiAutre (préciser l'équipement et la taille) : Ecran, Souris, Cable HDMICentre de coût : S250300</t>
  </si>
  <si>
    <t xml:space="preserve">
Accepter      Pour accepter la demande, cliquez simplement sur le bouton d'envoi de ce mail. Ne modifiez pas le texte ci dessous @OPERATION@='SOLVE' @RFC_NUMBER@='S260612_020' @CHOICE@='1'       Téléchargez Outlook pour iOS  
Bonjour,Demande traité.Cordialement.</t>
  </si>
  <si>
    <t>S260612_063</t>
  </si>
  <si>
    <t>JDIDI, Fatma</t>
  </si>
  <si>
    <t>G701133</t>
  </si>
  <si>
    <t>1 x Gestion des flux : 0 EURTitre : Demande autorisation sur TIOBEAction demandée : CréationProjet/Application : water meterService/CI associé au serveur : BLB_INFRA_SERVERSSite destination : SST (Tunisie/Megrine)Adresses IP sources : g701133Adresses IP destination : https://blb93004.ads.local/tiobeweb/TICS/TqiDashboard.html#axes=Project(W-LORA-V2),Sub()&amp;metric=tqiCodingStdPort destination : 443Date de début de la mission : 12/06/2026</t>
  </si>
  <si>
    <t>S260612_069</t>
  </si>
  <si>
    <t>MAALEJ, Mohamed</t>
  </si>
  <si>
    <t>G361582</t>
  </si>
  <si>
    <t xml:space="preserve">
@équipe IT : ok pour le clavier et souris ecran : on aura besoin de l'approbation de DIR pole
bonjourclavier et souris sont dispo écran : on aura besoin de l'approbation de DIR pole</t>
  </si>
  <si>
    <t>S260612_096</t>
  </si>
  <si>
    <t>Sauvegarde / Restauration</t>
  </si>
  <si>
    <t xml:space="preserve"> x Sauvegarde / Restauration : 0 EURService : SST_INFRA_SERVERS_RSIAction demandée : RestaurationDate : 10/06/2026Complément d information : bonjour ,
merci de nous restaurer le dossier /var www/html de mci dev.
cdt,
 </t>
  </si>
  <si>
    <t xml:space="preserve">
Bonjour Malek, Restore Ok , Job Id : 9383326 . Cdlt,Yosra</t>
  </si>
  <si>
    <t>S260612_117</t>
  </si>
  <si>
    <t>1 x Groupes AD : 0 EURAction : AffectationGroupe(s) : ETL-Admins</t>
  </si>
  <si>
    <t xml:space="preserve">
Bonjour,Le groupe a été ajouté.Merci de patienter le temps de synchronisation (au moins 2 heures).Cordialement</t>
  </si>
  <si>
    <t>S260612_118</t>
  </si>
  <si>
    <t>S260612_121</t>
  </si>
  <si>
    <t>KOOLI, Moez</t>
  </si>
  <si>
    <t>G801330</t>
  </si>
  <si>
    <t>1 x Groupes AD : 0 EURAction : AffectationGroupe(s) : sst-scretd / SCOM-EPM-LowFlex</t>
  </si>
  <si>
    <t>S260612_124</t>
  </si>
  <si>
    <t>S260612_126</t>
  </si>
  <si>
    <t xml:space="preserve">
From: sagemcom.helpdesk Sent: 16 June 2026 10:01To: 'ramzi.charfi@sagemcom.com' &lt;ramzi.charfi@sagemcom.com&gt;Cc: sagemcom.helpdesk &lt;sagemcom.helpdesk@fr.scc.com&gt;Subject: Demande Askit S260612_126 MS ProjectBonjour, Le droit a été ajouté, vous devrez télécharger la version de MS Project/MS Visio en allant sur  https://portal.office.com/account/?ref=Harmony#installs,(?) l’application n’est pas encore disponible veuillez patienter 2-4h pour la synchronisation. Si application n’est pas toujours disponible, merci de redémarrer le pc.Si vous avez besoin d'aide pour l'installation, vous devrez nous contacter par téléphone.On a mis en attache la procédure d’installation.  Cordialement,Sabina LuncasuIT – Service Desk / DSI – Service DeskTel. : +33 (0)1 60 18 83 00</t>
  </si>
  <si>
    <t>S260612_129</t>
  </si>
  <si>
    <t>S260612_130</t>
  </si>
  <si>
    <t>MAHMOUDI, Safouen</t>
  </si>
  <si>
    <t>G361298</t>
  </si>
  <si>
    <t xml:space="preserve">
Accepter       Pour accepter la demande, cliquez simplement sur le bouton d'envoi de ce mail. Ne modifiez pas le texte ci dessous @OPERATION@='SOLVE' @RFC_NUMBER@='S260612_130' @CHOICE@='1'   
BonjourVotre demande est disponibleCdtSANA</t>
  </si>
  <si>
    <t>S260612_146</t>
  </si>
  <si>
    <t>BOUALI, Amal</t>
  </si>
  <si>
    <t>G551679</t>
  </si>
  <si>
    <t>1 x Licence Github Copilot (Code Assist) : 0 EURBU : AETGroupe : COPILOT_MEMBER_AET_SICONIAHESCombien de fois pensez-vous utiliser cette licence par mois? : 10Justification : Bonjour,Je ne peux pas accéder à mon compte.  Your browser did something unexpected. Please try again. If the error continues, try disabling all browser extensions.     Please contact us if the problem persists.Prière de vérifier ce problème.Cdt,Amal Bouali.Centre de coût : S250300</t>
  </si>
  <si>
    <t xml:space="preserve">
licence COPILOT_MEMBER_AET_SICONIAHES ajoutée </t>
  </si>
  <si>
    <t>S260612_161</t>
  </si>
  <si>
    <t>S260612_221</t>
  </si>
  <si>
    <t>1 x Prêt matériel informatique : 0 EURFormat : LaptopType : Intégré au domaine SagemcomConfiguration : Configuration développementOS : Linux (poste de test)Date de début du prêt : 09/07/2026Date de fin de prêt (6 mois maximum) : 09/07/2026Email de validation de son DIR pôle à joindre : Formation Techniques de diagnostic HG6 .msgComplément d information : Bonjour, 
Nous vous informons que la formation Techniques de diagnostic HG6 se tiendra le 09 juillet à la salle D05 Pour le bon déroulement de cette session nous aurions besoin de :
- 6 Laptops linux
- Flybox ooredoo
- Réseau Sagemcom
ci-dessous la liste des participants 
Matricule
Nom
Prénom
701955
MEJRI
Wassim
700350
GHRIBI
Mohamed Rayen
800536
ROUINI
Samy
801031
MHAMDI
TAKIEDDINE
701608
EL OUNI
Ahmed
701936
RAHMENI
Eya
701935
CHMENGUI
Aymen
Merci
Cordialement
Amal</t>
  </si>
  <si>
    <t xml:space="preserve">
@équipe : mm besoin que la demande ref S260521_045  
seule la date de la formation a été modifié</t>
  </si>
  <si>
    <t>S260612_232</t>
  </si>
  <si>
    <t>MAROUFI, Nour</t>
  </si>
  <si>
    <t>G800279</t>
  </si>
  <si>
    <t>S260612_235</t>
  </si>
  <si>
    <t>1 x Groupes AD : 0 EURAction : AffectationGroupe(s) : sst-scretd ///SCOM-EPM-lowFlex</t>
  </si>
  <si>
    <t xml:space="preserve">
Bonjour,Les groupes ont été ajoutés. Merci de patienter le temps de synchronisation (au moins 2 heures).Cordialement</t>
  </si>
  <si>
    <t>S260612_257</t>
  </si>
  <si>
    <t>1 x Demande d'entrée DNS : 0 EURAction : CréationType de DNS : Alias (CNAME)Nom DNS souhaité : rmm-keyscentral-export-val.comonNom technique de la machine cible : RMM08171</t>
  </si>
  <si>
    <t>S260612_260</t>
  </si>
  <si>
    <t>1 x Demande d'entrée DNS : 0 EURAction : CréationType de DNS : Alias (CNAME)Nom DNS souhaité : rmm-keyscentral-export-prod.comonNom technique de la machine cible : RMM08157</t>
  </si>
  <si>
    <t>S260612_261</t>
  </si>
  <si>
    <t>1 x Demande de certificat / Keytab : 0 EURType de demande : CertificatNom DNS souhaité : rmm-keyscentral-export-val.comon</t>
  </si>
  <si>
    <t xml:space="preserve">
 Here is a single use link to your files : https://ots.comon/?762020e86972f310#meK2ThZS9VHM7gAXQpSwtzr3FS7S9nUF2gaE7uFvoEeThe access password is: YQ7ngPGU7lpP</t>
  </si>
  <si>
    <t>S260612_264</t>
  </si>
  <si>
    <t>1 x Gestion des flux : 0 EURTitre : Ouverture de flux entre tnbval.comon et 10.66.243.238Action demandée : CréationProjet/Application : TNBService/CI associé au serveur : COORDINATEUR_1G_TNBSite destination : BLB (France/Bois Colombes)Adresses IP sources : 10.81.130.162Adresses IP destination : 10.66.243.238Port destination : 443Matrice de flux : matrice_de_flux.xlsx</t>
  </si>
  <si>
    <t>S260612_267</t>
  </si>
  <si>
    <t>1 x Gestion des flux : 0 EURTitre : Ouverture de flux entre tnbval.comon et 10.66.243.237Action demandée : CréationProjet/Application : TNB VALService/CI associé au serveur : COORDINATEUR_1G_TNBSite destination : BLB (France/Bois Colombes)Adresses IP sources : 10.81.130.162Adresses IP destination : 10.66.243.237Port destination : 443Matrice de flux : matrice_de_flux.xlsx</t>
  </si>
  <si>
    <t>S260615_052</t>
  </si>
  <si>
    <t>1 x PC Desktop : 0 USD1 x Desktop Dev. : 588 USD1 x Ecrans 22" : 128.66 USDType : Intégré au domaine SagemcomConfiguration : Configuration développementOS : WindowsClavier : AZERTYCentre de coût : S250300Email de validation de son DIR pôle à joindre : RE Demande de changement de Desktop Dev.msg</t>
  </si>
  <si>
    <t xml:space="preserve">
Bonjour,Demande traité.Cordialement.</t>
  </si>
  <si>
    <t>S260615_073</t>
  </si>
  <si>
    <t xml:space="preserve">
Job 9403355 - [Backup]
Job 9403360 - [Restore]
Cd fourni à Hend  , fichier externalisée \\rmm01001.ads.local\cifs_sst_backup\SagePaie\SAUV_PAIE_2026\Mai
Job 9403355 - [Backup] Job 9403360 - [Restore]Cd fourni à Hend  , fichier externalisée \\rmm01001.ads.local\cifs_sst_backup\SagePaie\SAUV_PAIE_2026\M</t>
  </si>
  <si>
    <t>S260615_090</t>
  </si>
  <si>
    <t>1 x PC Laptop : 0 EUR1 x Laptop standard : 798.24 USD1 x Aucun écran :   USD1 x Câble de sécurité : 13.04 USD1 x Filtre de confidentialité : 27 USD1 x Aucun sac :   EURType : Intégré au domaine SagemcomConfiguration : Configuration validationOS : WindowsClavier : AZERTYCentre de coût : S250300Email de validation de son DIR pôle à joindre : RE_ Besoin d'un laptop de test - validation commande pour remplacement clé d'activation licence DLSTT TOOL .msg</t>
  </si>
  <si>
    <t xml:space="preserve">
BonjourLe laptop est disponibleModèle : dell latitude 5520Os : Windows 11S/N : B315TG3Cdt</t>
  </si>
  <si>
    <t>KERFAI, Amine</t>
  </si>
  <si>
    <t>G801350</t>
  </si>
  <si>
    <t>S260615_116</t>
  </si>
  <si>
    <t>S260615_117</t>
  </si>
  <si>
    <t>S260615_122</t>
  </si>
  <si>
    <t>METOUI, Emna Elhak</t>
  </si>
  <si>
    <t>G551327</t>
  </si>
  <si>
    <t>1 x Droits Impression\imprimante couleur : 0 EURChoix : Followme</t>
  </si>
  <si>
    <t>S260615_128</t>
  </si>
  <si>
    <t>1 x Gestion des flux : 0 EURTitre : Ouverture de fluxAction demandée : CréationProjet/Application : klocworkSite destination : BLB (France/Bois Colombes)Adresses IP sources : 10.206.206.xxx - groupe ETL-AdminsAdresses IP destination : 10.80.241.5Port destination : 8088</t>
  </si>
  <si>
    <t>S260615_131</t>
  </si>
  <si>
    <t>1 x Demande informatique hors catalogue : 0 EURMerci de préciser votre besoin : LogicielNom du logiciel : BitLockerDescription : Bonjour,Pouvez-vous m’aider à récupérer le code de récupération BitLocker, s’il vous plaît ?Cordialement,MWCentre de coût : S250206</t>
  </si>
  <si>
    <t xml:space="preserve">
Bonjour,Demande traitéCordialement.</t>
  </si>
  <si>
    <t>S260615_139</t>
  </si>
  <si>
    <t>1 x Licence Github Copilot (Code Assist) : 0 EURBU : AETGroupe : COPILOT_MEMBER_AET_SICONIAHESCombien de fois pensez-vous utiliser cette licence par mois? : 15Justification : Besoin d'avoir accès à licence Copilot Guithub pour profiter de l'apport de l'IA pour la réalisation des activités journalière en tant que qualitéCentre de coût : S250490</t>
  </si>
  <si>
    <t xml:space="preserve">
Accepter      Pour accepter la demande, cliquez simplement sur le bouton d'envoi de ce mail. Ne modifiez pas le texte ci dessous @OPERATION@='SOLVE' @RFC_NUMBER@='S260615_139' @CHOICE@='1'         Ayada Hassine          Responsable Qualité Environnement SS&amp;T / Responsable bureau d’etude SS&amp;T     2-Information Interne Sagemcom – Interdiction de communiquer en externe sans autorisation  de la direction concernée - Ce document et les informations qu’il contient sont la propriété de Sagemcom. Ils ne doivent pas être reproduits, représentés, divulgués à un/des tiers, ni utilisés à d’autres fins que celles pour lesquelles ils ont été établis  et transmis.     
Bonjour,
Le groupe a été ajouté.
Merci de patienter le temps de synchronisation 2-4h.
Cordialement,</t>
  </si>
  <si>
    <t>S260615_146</t>
  </si>
  <si>
    <t>1 x PC accessoires : 0 EURN° étiquette du PC (ou modèle) : p1310574Autres accessoires : OuiAutre (préciser l'équipement et la taille) : casqueCentre de coût : S250202</t>
  </si>
  <si>
    <t>S260615_147</t>
  </si>
  <si>
    <t>1 x PC accessoires : 0 EURN° étiquette du PC (ou modèle) : P1310297Autres accessoires : OuiAutre (préciser l'équipement et la taille) : casqueCentre de coût : S250202</t>
  </si>
  <si>
    <t>S260615_159</t>
  </si>
  <si>
    <t>1 x Gestion des flux : 0 EURTitre : Ouverture de flux https de blb28067.ads.local vers 10.66.243.198Action demandée : CréationProjet/Application : TNBService/CI associé au serveur : COORDINATEUR_1G_TNBSite destination : BLB (France/Bois Colombes)Adresses IP sources : 10.81.130.163Adresses IP destination : 10.66.243.198Port destination : 443Matrice de flux : matrice_de_flux_prod.xlsx</t>
  </si>
  <si>
    <t xml:space="preserve">
Ok, prévu dans la montée de version</t>
  </si>
  <si>
    <t>S260615_160</t>
  </si>
  <si>
    <t>1 x Gestion des flux : 0 EURTitre : Demande d'ouverture de flux entre blb28067.ads.local et 10.66.243.197Action demandée : CréationProjet/Application : TNBService/CI associé au serveur : COORDINATEUR_1G_TNBSite destination : BLB (France/Bois Colombes)Adresses IP sources : 10.81.130.163Adresses IP destination : 10.66.243.197Port destination : 443Matrice de flux : matrice_de_flux_prod.xlsx</t>
  </si>
  <si>
    <t xml:space="preserve">
Flux ouvert</t>
  </si>
  <si>
    <t>S260615_224</t>
  </si>
  <si>
    <t>1 x Gestion des flux : 0 EURTitre : demande d'accès au serveur OllamaAction demandée : CréationProjet/Application : pfeSite destination : SST (Tunisie/Megrine)Adresses IP sources : 10.206.208.64 - user G801184Adresses IP destination : https://sc-ollama-avs.sst.scom/Port destination : 443</t>
  </si>
  <si>
    <t xml:space="preserve">
Accepter      Pour accepter la demande, cliquez simplement sur le bouton d'envoi de ce mail. Ne modifiez pas le texte ci dessous @OPERATION@='SOLVE' @RFC_NUMBER@='S260615_224' @CHOICE@='1'  </t>
  </si>
  <si>
    <t>S260615_231</t>
  </si>
  <si>
    <t>NOURI, Sameh</t>
  </si>
  <si>
    <t>G573100</t>
  </si>
  <si>
    <t>1 x PC accessoires : 0 EURN° étiquette du PC (ou modèle) : P1311678Autres accessoires : OuiAutre (préciser l'équipement et la taille) : SourisCentre de coût : S250300</t>
  </si>
  <si>
    <t>G_IT_DESKTOP_MANAGER_SST</t>
  </si>
  <si>
    <t>S260615_275</t>
  </si>
  <si>
    <t>ZAIRI, Hamdi</t>
  </si>
  <si>
    <t>G700388</t>
  </si>
  <si>
    <t>1 x Groupes AD : 0 EURAction : AffectationGroupe(s) : SCCM_Groupe_Devices_Comanagement</t>
  </si>
  <si>
    <t xml:space="preserve">
machine ajoutée dans le groupe SCCM_Groupe_Devices_Comanagement</t>
  </si>
  <si>
    <t>S260616_036</t>
  </si>
  <si>
    <t>1 x Gestion des flux : 0 EURTitre : ouverture de flux pour https://vart.sst.scom:5050/Action demandée : ModificationProjet/Application : VARTService/CI associé au serveur : BLB_INFRA_NETWORKSite destination : BLB (France/Bois Colombes)Adresses IP sources : BLB, voire les users dans le commentaireAdresses IP destination : https://vart.sst.scomPort destination : 5050Date de début de la mission : 16/06/2026Date de fin : 23/04/2027</t>
  </si>
  <si>
    <t>S260617_052</t>
  </si>
  <si>
    <t>MANSOURI, Ons</t>
  </si>
  <si>
    <t>G551068</t>
  </si>
  <si>
    <t xml:space="preserve">
From: sagemcom.helpdesk Sent: 18 June 2026 11:17To: 'ons.mansouri@sagemcom.com' &lt;ons.mansouri@sagemcom.com&gt;Cc: sagemcom.helpdesk &lt;sagemcom.helpdesk@fr.scc.com&gt;Subject: Demande Askit S260617_052 MS ProjectBonjour, Le droit a été ajouté, vous devrez télécharger la version de MS Project/MS Visio en allant sur https://portal.office.com/account/?ref=Harmony#installs,(?) l’application n’est pas encore disponible veuillez patienter 2-4h pour la synchronisation. Si application n’est pas toujours disponible, merci de redémarrer le pc.Si vous avez besoin d'aide pour l'installation, vous devrez nous contacter par téléphone.On a mis en attache la procédure d’installation.  Cordialement,Sabina LuncasuIT – Service Desk / DSI – Service DeskTel. : +33 (0)1 60 18 83 00</t>
  </si>
  <si>
    <t>S260617_058</t>
  </si>
  <si>
    <t>HARBAOUI, Tassnim</t>
  </si>
  <si>
    <t>G800676</t>
  </si>
  <si>
    <t>1 x PC Laptop : 0 EUR1 x Laptop reconditionné :   EUR1 x Aucun écran :   USD1 x Câble de sécurité : 13.04 USD1 x Filtre de confidentialité : 27 USD1 x Aucun sac :   EURType : Intégré au domaine SagemcomConfiguration : Configuration validationOS : WindowsClavier : AZERTYCentre de coût : S250300Email de validation de son DIR pôle à joindre : TR laptops pour support prod.msg</t>
  </si>
  <si>
    <t xml:space="preserve">
Bonjour ,Demande traitée IMMO: p1313706OS: windows 11Modèle : dell pro 14Cdt,</t>
  </si>
  <si>
    <t>S260617_071</t>
  </si>
  <si>
    <t>1 x PC accessoires : 0 EURN° étiquette du PC (ou modèle) : p1313263Autres accessoires : OuiAutre (préciser l'équipement et la taille) : casqueCentre de coût : S250101</t>
  </si>
  <si>
    <t xml:space="preserve">
casque HS , ok pour le changement
bonjourcasque est disponiblecordialement</t>
  </si>
  <si>
    <t>S260617_075</t>
  </si>
  <si>
    <t>MCHITA, Karim</t>
  </si>
  <si>
    <t>G507798</t>
  </si>
  <si>
    <t>1 x PC Desktop : 0 USD1 x Desktop reconditionné :   USD1 x Aucun écran :   USDType : TestConfiguration : Configuration développementOS : Linux (poste de test)Clavier : AZERTYCentre de coût : S250300Email de validation de son DIR pôle à joindre : 20210826_Offer_30210066.pdf</t>
  </si>
  <si>
    <t xml:space="preserve">
Bonjour
Demande traitée
Cdt
SANA
BonjourDemande traitéeCdt</t>
  </si>
  <si>
    <t>S260617_091</t>
  </si>
  <si>
    <t>S260617_108</t>
  </si>
  <si>
    <t xml:space="preserve">1 x Serveur : 0 USD Titre : Ajout d'espace dans VM RMM08790 Action : Modification Nom du serveur (recherche par nom ou IP) : rmm08790 Serveur non trouvé dans la liste ci-dessus : 0 Modification : Disque supplémentaire (Go) Espace disque du serveur (en Go) : 20Go Expression du besoin : Ticket Traité-----------------------Bonjour,
L’espace disque du  /home sur la VM RMM08790 est quasiment saturé. J’ai besoin en urgence d’ajouter 20 Go sous /home en attendant la migration de la VM.
 </t>
  </si>
  <si>
    <t xml:space="preserve">
Traité</t>
  </si>
  <si>
    <t>S260617_124</t>
  </si>
  <si>
    <t>1 x Demande informatique hors catalogue : 0 EURMerci de préciser votre besoin : LogicielNom du logiciel : Adobe AcrobatDescription : Adobe Acrobat n'ouvre pas les fichiers PDFs.Centre de coût : S250206</t>
  </si>
  <si>
    <t xml:space="preserve">
Accepter      Pour accepter la demande, cliquez simplement sur le bouton d'envoi de ce mail. Ne modifiez pas le texte ci dessous @OPERATION@='SOLVE' @RFC_NUMBER@='S260617_124' @CHOICE@='1'        Ayada HASSINE   RQE/BE   
Bonjour,Demande traité.Cordialement.</t>
  </si>
  <si>
    <t>S260617_139</t>
  </si>
  <si>
    <t>BELDI, Jawher</t>
  </si>
  <si>
    <t>G800528</t>
  </si>
  <si>
    <t>1 x PC Laptop : 0 EUR1 x Laptop light : 845.49 USD1 x Aucun écran :   USD1 x Câble de sécurité : 13.04 USD1 x Filtre de confidentialité : 27 USD1 x PC portable réplicateur de port : 80 EUR1 x Sac à dos Laptop : 16.7 EURType : Intégré au domaine SagemcomConfiguration : Configuration développementOS : WindowsClavier : AZERTYCentre de coût : S250300Email de validation de son DIR pôle à joindre : TR laptops pour support prod.msg</t>
  </si>
  <si>
    <t xml:space="preserve">
Bonjour ,Demande traitéeIMMO: p 1313686Modèle : dell pro 14OS: windows 11Cdt,</t>
  </si>
  <si>
    <t>S260617_162</t>
  </si>
  <si>
    <t>GHARSELAOUI, Oussama</t>
  </si>
  <si>
    <t>G800122</t>
  </si>
  <si>
    <t>1 x PC Laptop : 0 EUR1 x Laptop light : 845.49 USD1 x Aucun écran :   USD1 x Câble de sécurité : 13.04 USD1 x Filtre de confidentialité : 27 USD1 x Souris sans fil : 12.65 EUR1 x PC portable réplicateur de port : 80 EUR1 x Sac à dos Laptop : 16.7 EURType : Intégré au domaine SagemcomConfiguration : Configuration validationOS : WindowsClavier : AZERTYCentre de coût : S250300Email de validation de son DIR pôle à joindre : TR laptops pour support prod.msg</t>
  </si>
  <si>
    <t xml:space="preserve">
Accepter       Pour accepter la demande, cliquez simplement sur le bouton d'envoi de ce mail. Ne modifiez pas le texte ci dessous @OPERATION@='SOLVE' @RFC_NUMBER@='S260617_162' @CHOICE@='1'   
Bonjour,Demande traitée ​IMMO: p1313572OS: windows 11Modèle : dell pro 14Cdt,</t>
  </si>
  <si>
    <t>S260617_188</t>
  </si>
  <si>
    <t>BEN SALEM, Taha</t>
  </si>
  <si>
    <t>G801207</t>
  </si>
  <si>
    <t>1 x Gestion des flux : 0 EURTitre : accés serveur OllamaAction demandée : CréationProjet/Application : Projet PFESite destination : SST (Tunisie/Megrine)Adresses IP sources : 10.206.208.0/24 AVEC LE G801207Adresses IP destination : https://sc-ollama-avs.sst.scomPort destination : B0343Date de début de la mission : 17/06/2026Date de fin : 10/08/2026</t>
  </si>
  <si>
    <t>S260617_193</t>
  </si>
  <si>
    <t>HMID, Mohamed</t>
  </si>
  <si>
    <t>G800507</t>
  </si>
  <si>
    <t>1 x PC Laptop : 0 EUR1 x Laptop reconditionné :   EUR1 x Aucun écran :   USD1 x Câble de sécurité : 13.04 USD1 x Filtre de confidentialité : 27 USD1 x Casque Teams : 23.04 EUR1 x Sac à dos Laptop : 16.7 EURType : Intégré au domaine SagemcomConfiguration : Configuration validationOS : WindowsClavier : AZERTYCentre de coût : S250300Email de validation de son DIR pôle à joindre : TR laptops pour support prod.msg</t>
  </si>
  <si>
    <t xml:space="preserve">
Bonjour,Demande est disponibleIMMO: p1313699Modèle : dell pro 14 OS: windows 11Cdt,</t>
  </si>
  <si>
    <t>S260617_208</t>
  </si>
  <si>
    <t>1 x Installation réseau ou téléphone fixe : 0 EURDemande Réseau ou Téléphonie : RéseauBesoin extention cablage reseau : NRJdésignation : Bonjour,Merci de activer le port 102 à Mezzanine Kram pour un nouveau Stagiaire.
Cordialement
Rabie</t>
  </si>
  <si>
    <t xml:space="preserve">
Bonjour demande traité Cdt</t>
  </si>
  <si>
    <t>S260617_211</t>
  </si>
  <si>
    <t>BOUKATTAYA, Eya</t>
  </si>
  <si>
    <t>G701673</t>
  </si>
  <si>
    <t>1 x PC accessoires : 0 EURN° étiquette du PC (ou modèle) : P1312989Autres accessoires : OuiAutre (préciser l'équipement et la taille) : J’ai besoin d’un casqueCentre de coût : S250300</t>
  </si>
  <si>
    <t xml:space="preserve">
Accepter      Pour accepter la demande, cliquez simplement sur le bouton d'envoi de ce mail. Ne modifiez pas le texte ci dessous @OPERATION@='SOLVE' @RFC_NUMBER@='S260617_211' @CHOICE@='1'       Téléchargez Outlook pour iOS  
Bonjour,Demande traité.Cordialement.</t>
  </si>
  <si>
    <t>S260618_105</t>
  </si>
  <si>
    <t>GARAALI, Bechir</t>
  </si>
  <si>
    <t>G800810</t>
  </si>
  <si>
    <t>1 x Gestion des flux : 0 EURTitre : demande d'accés sc OllamaAction demandée : CréationProjet/Application : pfeSite destination : SST (Tunisie/Megrine)Adresses IP sources : 10.206.208.68 - G800810Adresses IP destination : https://sc-ollama-avs.sst.scomPort destination : B0218Date de début de la mission : 18/06/2026Date de fin : 08/08/2026</t>
  </si>
  <si>
    <t xml:space="preserve">
Bonjour,Le flux est déjà ouvert.Cdt,</t>
  </si>
  <si>
    <t>S260618_143</t>
  </si>
  <si>
    <t>1 x Demande informatique hors catalogue : 0 EURMerci de préciser votre besoin : AutreDescription : Bonjour,Serait il possible de faire un reset du mot de passe du PC de TestMerciAdnenCentre de coût : S250300</t>
  </si>
  <si>
    <t>S260618_161</t>
  </si>
  <si>
    <t>1 x Gestion des flux : 0 EURTitre : Gestion des fluxAction demandée : CréationProjet/Application : Siconia Master Product - Test d'integrationSite destination : AutreAutre site : Tunisie/KramAdresses IP sources : g573100 / g551679 /g551676 /g800556 /g701669 /g551675Adresses IP destination : 172.30.18.66 /172.30.16.135/Port destination : 9092Date de début de la mission : 17/06/2026</t>
  </si>
  <si>
    <t>S260618_222</t>
  </si>
  <si>
    <t>G551593</t>
  </si>
  <si>
    <t>S260619_069</t>
  </si>
  <si>
    <t>1 x PC Laptop : 0 EUR1 x Laptop standard : 798.24 USD1 x Aucun écran :   USD1 x Câble de sécurité : 13.04 USD1 x Filtre de confidentialité : 27 USD1 x Aucun sac :   EURType : Intégré au domaine SagemcomConfiguration : Configuration développementOS : WindowsClavier : AZERTYCentre de coût : S250300Email de validation de son DIR pôle à joindre : RE Laptop pour Makrem.msg</t>
  </si>
  <si>
    <t xml:space="preserve">
Accepter      Pour accepter la demande, cliquez simplement sur le bouton d'envoi de ce mail. Ne modifiez pas le texte ci dessous @OPERATION@='SOLVE' @RFC_NUMBER@='S260619_069' @CHOICE@='1'  
Bonjour,Demande traité.Cordialement</t>
  </si>
  <si>
    <t>S260619_085</t>
  </si>
  <si>
    <t>KAABI, Mohamed Amine</t>
  </si>
  <si>
    <t>G700277</t>
  </si>
  <si>
    <t>1 x PC accessoires : 0 EUR1 x PC portable alimentation : 20 USDN° étiquette du PC (ou modèle) : P1310513Autres accessoires : NonCentre de coût : S250205</t>
  </si>
  <si>
    <t>S260619_190</t>
  </si>
  <si>
    <t>KHAZZAR, Chawki</t>
  </si>
  <si>
    <t>G702434</t>
  </si>
  <si>
    <t>1 x PC accessoires : 0 EURN° étiquette du PC (ou modèle) : P1312546Autres accessoires : OuiAutre (préciser l'équipement et la taille) : JABRACentre de coût : S250303</t>
  </si>
  <si>
    <t xml:space="preserve">
Bonjour ,Demande traitée Cdt,</t>
  </si>
  <si>
    <t>S260619_208</t>
  </si>
  <si>
    <t>S260619_249</t>
  </si>
  <si>
    <t xml:space="preserve">
Accepter      Pour accepter la demande, cliquez simplement sur le bouton d'envoi de ce mail. Ne modifiez pas le texte ci dessous @OPERATION@='SOLVE' @RFC_NUMBER@='S260619_249' @CHOICE@='1'         Rachid BRAHMI            Administrateur Réseaux, Direction des Systèmes d’Information     Adresse postale : 4 Allée des Messageries, 92270 Bois-Colombes Adresse de livraison : Sagemcom chez ExcelCourses, 50 rue Ardoin – Bat B / lot 552, 93400 Saint-Ouen-sur-Seine Tél. : +33 (0)1 57 61 17 29 | Mobile : +33 (0)6 07 56 42 39       Suivez-nous :                            </t>
  </si>
  <si>
    <t>Suspension avec demande information</t>
  </si>
  <si>
    <t>TRIGUI, Yassine</t>
  </si>
  <si>
    <t>G800129</t>
  </si>
  <si>
    <t>S260619_258</t>
  </si>
  <si>
    <t>1 x PC accessoires : 0 EUR1 x Câble de sécurité : 13.04 USDN° étiquette du PC (ou modèle) : P1313697Autres accessoires : OuiAutre (préciser l'équipement et la taille) : cable HDMICentre de coût : S250300</t>
  </si>
  <si>
    <t>S260619_265</t>
  </si>
  <si>
    <t>1 x Gestion des flux : 0 EURTitre : GitlabAction demandée : CréationProjet/Application : STMKSite destination : SST (Tunisie/Megrine)Adresses IP sources : g361458Adresses IP destination : https://gitlab-produits.rmm.scom/Port destination : 443,8443</t>
  </si>
  <si>
    <t>S260619_266</t>
  </si>
  <si>
    <t>DAHMANI, Nizar</t>
  </si>
  <si>
    <t>G360230</t>
  </si>
  <si>
    <t>1 x PC Desktop : 0 USD1 x Desktop reconditionné :   USD1 x Ecrans 17" : 88.23 USDType : Intégré au domaine SagemcomConfiguration : Configuration développementOS : Socle (Linux domaine sagemcom)Clavier : AZERTYCentre de coût : S250200Email de validation de son DIR pôle à joindre : ok_pc_swanci.pdf</t>
  </si>
  <si>
    <t xml:space="preserve">
@équipe IT : merci de coordonner avec l equipe ETL pour l'installation de debian 12 server (socle12 swanciOS)
Bonjour,Desktop est disponible P1310260,veuillez contacter l'équipe ETL pour l'installation de l'OS (socle12 swanciOS)Cordialement.</t>
  </si>
  <si>
    <t>S260619_275</t>
  </si>
  <si>
    <t>Jira Service Management Energy</t>
  </si>
  <si>
    <t xml:space="preserve"> x Jira Service Management Energy : 0 EURRôle : Réceptionnaire : SCOM-DSI-JSM-ENERGY-RECEIPTJustification / complément d'information : demande a annuler</t>
  </si>
  <si>
    <t xml:space="preserve">
Demande annulation </t>
  </si>
  <si>
    <t>G_VAL_JSM_ENERGY</t>
  </si>
  <si>
    <t>LAKZIT, Sara</t>
  </si>
  <si>
    <t>S260619_287</t>
  </si>
  <si>
    <t>HAMMAMI, Yasmine</t>
  </si>
  <si>
    <t>G801333</t>
  </si>
  <si>
    <t>S260619_288</t>
  </si>
  <si>
    <t>S260619_296</t>
  </si>
  <si>
    <t xml:space="preserve"> x Sauvegarde / Restauration : 0 EURService : SST_INFRA_SERVERS_RSIAction demandée : RestaurationDate : 19/06/2026Complément d information : Bonjour,
merci de restaurer la base paie mai 2026 dans la base prod_paie
cdlt</t>
  </si>
  <si>
    <t xml:space="preserve">
Restore Ok , Job 9430476 - [Restore]</t>
  </si>
  <si>
    <t>S260619_318</t>
  </si>
  <si>
    <t>1 x Comptes GITIS : 0 EURMétier GITIS : 02_Consultation (membre de la R&amp;D) / Consultation (R&amp;D member)Action demandée : Création (nouveau compte)Environnement : Production (P01)AA Compteurs électriques Exports et traditionnels et gaz (R&amp;D produits) : YRK_INTRA_URD_VISU_AAAA1 Compteurs électrique Linky (R&amp;D produits) : YRK_INTRA_URD_VISU_AA1NDA : nda_document_signature.jpgAA2 Compteurs Gaz Gazpar uniquement (R&amp;D produits) : YRK_INTRA_URD_VISU_AA2AJ Compteurs d'eau (R&amp;D Grid, Eau et Auto) : YRK_INTRA_URD_VISU_AJRD Energy Site Management / Grid (R&amp;D Grid, Eau et Auto) : YRK_INTRA_URD_VISU_RDRE IOT (R&amp;D Grid, Eau et Auto) : YRK_INTRA_URD_VISU_RESTE Sagemcom Technology Energy (Indus) : YRK_INTRA_URD_VISU_STE168 : Centre industriel Tunisie : YRK_INTRA_URD_VISU_168F</t>
  </si>
  <si>
    <t xml:space="preserve">
  Bonjour, Le compte a été crée. Le rôle a été ajouté. Le nouveau mot de passe vous a été envoyé par mail. Cordialement </t>
  </si>
  <si>
    <t>S260619_319</t>
  </si>
  <si>
    <t>1 x Accès à un partage réseau : 0 EURLien du partage : \\filer1.ads.local\groupe01\codificationDroits : Lecture/Ecriture</t>
  </si>
  <si>
    <t xml:space="preserve">
Accepter      Pour accepter la demande, cliquez simplement sur le bouton d'envoi de ce mail. Ne modifiez pas le texte ci dessous @OPERATION@='SOLVE' @RFC_NUMBER@='S260619_319' @CHOICE@='1'        Ayada HASSINE   RQE/BE   </t>
  </si>
  <si>
    <t>S260619_325</t>
  </si>
  <si>
    <t>BEN SALAH, Naoufel</t>
  </si>
  <si>
    <t>G542641</t>
  </si>
  <si>
    <t xml:space="preserve">
accès créé.
Accepter       Pour accepter la demande, cliquez simplement sur le bouton d'envoi de ce mail. Ne modifiez pas le texte ci dessous @OPERATION@='SOLVE' @RFC_NUMBER@='S260619_325' @CHOICE@='1'   </t>
  </si>
  <si>
    <t>S260622_141</t>
  </si>
  <si>
    <t>1 x Compte de service : 0 EURAction : CréationNom du serveur : sst-aet-vcenter.sst.scom</t>
  </si>
  <si>
    <t xml:space="preserve">
OK pour moi.</t>
  </si>
  <si>
    <t>S260622_168</t>
  </si>
  <si>
    <t>JANNOT, Christian</t>
  </si>
  <si>
    <t>G133051</t>
  </si>
  <si>
    <t>1 x Gestion des flux : 0 EURTitre : QSO Accès MCIAction demandée : CréationProjet/Application : MCIService/CI associé au serveur : BLB_INFRA_NETWORKSite destination : SST (Tunisie/Megrine)Adresses IP sources : QSOAdresses IP destination : 10.206.249.42Port destination : SSH et FTP</t>
  </si>
  <si>
    <t>VIP</t>
  </si>
  <si>
    <t>S260622_284</t>
  </si>
  <si>
    <t>MAHJOUBI, Mounir</t>
  </si>
  <si>
    <t>G700215</t>
  </si>
  <si>
    <t>1 x PC accessoires : 0 EURN° étiquette du PC (ou modèle) : P1313557Autres accessoires : OuiAutre (préciser l'équipement et la taille) : Ecran 24 poucesCentre de coût : S250201</t>
  </si>
  <si>
    <t>S260622_291</t>
  </si>
  <si>
    <t>1 x Gestion des flux : 0 EURTitre : Demande accès au network de OllamaAction demandée : CréationProjet/Application : StageService/CI associé au serveur : BLB_INFRA_NETWORKSite destination : BLB (France/Bois Colombes)Adresses IP sources : 10.207.2.88Adresses IP destination : SC-OLLAMA-BBS.sst.scomPort destination : httpsDate de début de la mission : 22/06/2026Date de fin : 31/07/2026Matrice de flux : Matrice_de_Flux_template_Nour_Maroufi.xlsx</t>
  </si>
  <si>
    <t>S260622_324</t>
  </si>
  <si>
    <t>1 x Gestion des flux : 0 EURTitre : Demande accès à NexusAction demandée : CréationProjet/Application : StageService/CI associé au serveur : BLB_INFRA_NETWORKSite destination : BLB (France/Bois Colombes)Adresses IP sources : 10.207.2.88 - g800279Adresses IP destination : 10.80.189.80 - nexus-ia.ads.localPort destination : 443Date de début de la mission : 22/06/2026Date de fin : 31/07/2026Matrice de flux : Matrice_de_Flux_template_Nour_Maroufi (1).xlsx</t>
  </si>
  <si>
    <t>S260622_353</t>
  </si>
  <si>
    <t>1 x Serveur : 0 USD Titre : Ajout espace disque :Confluence-internal-Node2 Action : Modification Serveur non trouvé dans la liste ci-dessus : 1 Nom du serveur : Confluence-internal-Node2 :10.80.189.74 Modification : Disque supplémentaire (Go) Espace disque du serveur (en Go) : 100G Expression du besoin : Bonjour,
Merci d'ajouter un espace disque pour Confluence-internal-Node2
Cordialement.
Hiba
ETL Admin</t>
  </si>
  <si>
    <t xml:space="preserve">
Bonjour,Espace disque augmenté</t>
  </si>
  <si>
    <t>S260622_365</t>
  </si>
  <si>
    <t>1 x Installation réseau ou téléphone fixe : 0 EURDemande Réseau ou Téléphonie : RéseauBesoin extention cablage reseau : AutreAutre : DSIdésignation : Bonjour,
Pourriez-vous activer un port réseau pour Yasmine Hammami pour qu'elle puisse accéder au réseau sagemcom.
Cordialement,
Oussama.</t>
  </si>
  <si>
    <t>S260622_369</t>
  </si>
  <si>
    <t>MEZGHANI, Amine</t>
  </si>
  <si>
    <t>G361127</t>
  </si>
  <si>
    <t>Téléphone mobile SST/KRM</t>
  </si>
  <si>
    <t>1 x Téléphone mobile SST/KRM : 0 TDN1 x Forfait 80 : 80 TDN1 x Aucun mobile :   TDNCentre de coût : S250300</t>
  </si>
  <si>
    <t xml:space="preserve">
Bonjour,
Suite à l’accord DO et DRH,  en attendant la disponibilité des smartphones l'équipe IT vous contactera pour l'affectation à votre nom de :
Une Box internet
Une carte SIM avec forfait 80
Cordialement 
BonjourDemande traitéeNuméro : 50474104cdtSANA</t>
  </si>
  <si>
    <t>S260622_372</t>
  </si>
  <si>
    <t>TAHER, Aicha</t>
  </si>
  <si>
    <t>G700063</t>
  </si>
  <si>
    <t>1 x Licence Github Copilot (Code Assist) : 0 EURBU : AETGroupe : COPILOT_MEMBER_AET_VALIDATIONCombien de fois pensez-vous utiliser cette licence par mois? : 200Justification : J'ai besoin de licence GitHub CopilotCentre de coût : S250300</t>
  </si>
  <si>
    <t xml:space="preserve">
    Bonjour,        Le droit a été ajoute.        Merci d'attendre le temps de synchro, au moins 2-4 heures.        Cordialement</t>
  </si>
  <si>
    <t>S260623_038</t>
  </si>
  <si>
    <t>1 x Serveur : 0 USD Titre : Ajout de RAM sous BLB28012 Action : Modification Nom du serveur (recherche par nom ou IP) : blb28012 Serveur non trouvé dans la liste ci-dessus : 0 Modification : RAM supplémentaire (Go) RAM Serveur (en Go) : 20 GO Expression du besoin : Bonjour,
Pouvez-vous ajouter 20 GO de RAM sous le serveur BLB28012.
Merci d'avance.
Cdt.
Imen</t>
  </si>
  <si>
    <t>S260623_105</t>
  </si>
  <si>
    <t>1 x Gestion des flux : 0 EURTitre : Ouverture de flux réseau — Jenkins vers plateformes RRTAction demandée : CréationProjet/Application : ETLSite destination : SST (Tunisie/Megrine)Adresses IP sources : 10.80.171.29Adresses IP destination : 10.80.240.14 (RRT DEV) , 10.80.223.90 (RRT PREPROD) , 10.80.189.140 (RRT PROD)Port destination : 443Date de début de la mission : 23/06/2026</t>
  </si>
  <si>
    <t>S260623_151</t>
  </si>
  <si>
    <t>BOUZAMOUCHA, Baha Eddine</t>
  </si>
  <si>
    <t>G800200</t>
  </si>
  <si>
    <t>1 x PC Laptop : 0 EUR1 x Laptop standard : 798.24 USD1 x Aucun écran :   USD1 x Câble de sécurité : 13.04 USD1 x Filtre de confidentialité : 27 USD1 x Sac à dos Laptop : 16.7 EURType : Intégré au domaine SagemcomConfiguration : Configuration validationOS : WindowsClavier : AZERTYCentre de coût : S250300Email de validation de son DIR pôle à joindre : TR_ Re_ Demande d’accord pour affectation d’un laptop – BOUZAMOUCHA Baha Eddine.eml</t>
  </si>
  <si>
    <t xml:space="preserve">
Bonjour,
Merci d'insérer l'approbation du directeur de pôle.
Cordialement
Bonjour, Demande traitéMachine: QSO-P1313690PWOS:Windows11 Cordialement</t>
  </si>
  <si>
    <t>S260623_197</t>
  </si>
  <si>
    <t>FARHAT, Hedi</t>
  </si>
  <si>
    <t>G700866</t>
  </si>
  <si>
    <t>1 x PC accessoires : 0 EURN° étiquette du PC (ou modèle) : P1311693Autres accessoires : OuiAutre (préciser l'équipement et la taille) : micro-casqueCentre de coût : S250206</t>
  </si>
  <si>
    <t xml:space="preserve">
Bonjour,Votre demande est disponible Cdt.</t>
  </si>
  <si>
    <t>S260623_202</t>
  </si>
  <si>
    <t>1 x Infrastructure Cloud : 0 EURTitre : configuration SAML pour Supaval HPR - VALEntité/service : ITEnvironnement : Development/Integration/TestType d'accès : Sagemcom interneCommunication avec réseau Sagemcom : OuiType de service : VM Linux</t>
  </si>
  <si>
    <t xml:space="preserve">
traité ce jour en point Teams
traité par session Teams</t>
  </si>
  <si>
    <t>S260623_207</t>
  </si>
  <si>
    <t>1 x Groupes AD : 0 EURAction : AffectationGroupe(s) : \\10.206.249.224\SST_AET\VAL_Meters\Package_Python_Dev</t>
  </si>
  <si>
    <t>S260623_231</t>
  </si>
  <si>
    <t>3 x Hub USB : 54 EURNombre de ports : 7Centre de coût : S250300</t>
  </si>
  <si>
    <t xml:space="preserve">
Bonjour,Merci de contacter Mchita, KarimCordialement</t>
  </si>
  <si>
    <t>S260623_247</t>
  </si>
  <si>
    <t>1 x PC accessoires : 0 EUR1 x PC portable réplicateur de port : 80 EURN° étiquette du PC (ou modèle) : p1313752Autres accessoires : NonCentre de coût : S250300</t>
  </si>
  <si>
    <t xml:space="preserve">
 @équipe IT : merci de contacter MCHITA Karim pour lancer une demande d'achat
Accepter       Pour accepter la demande, cliquez simplement sur le bouton d'envoi de ce mail. Ne modifiez pas le texte ci dessous @OPERATION@='SOLVE' @RFC_NUMBER@='S260623_247' @CHOICE@='1'   
Bonjour,Je vous informe que nous allons clôturer le ticket concernant le hub USB, car ces équipements ne sont pas fournis par notre service. Pour toute demande à ce sujet, je vous invite à contacter directement Karim Mchita.Merci de votre compréhension.Cordialement,</t>
  </si>
  <si>
    <t>S260623_262</t>
  </si>
  <si>
    <t>S260623_314</t>
  </si>
  <si>
    <t>1 x MS Power BI : 0 EURAction : CréationProfil : ConcepteurEspaces de travail : DSI-APPLI-NON-SAP</t>
  </si>
  <si>
    <t xml:space="preserve">
From: sagemcom.helpdesk Sent: 30 June 2026 07:01To: 'oussama.ben-brahim@sagemcom.com' &lt;oussama.ben-brahim@sagemcom.com&gt;Cc: sagemcom.helpdesk &lt;sagemcom.helpdesk@fr.scc.com&gt;Subject: Demande Askit S260623_314 PowerBI Bonjour, Le droit a été ajouté, l’application n’est pas encore disponible veuillez patienter 2-4h pour la synchronisation. Pour installer Power BI merci de suivre la procédure mis en attache de ce mail. Cordialement,Sabina LuncasuIT – Service Desk / DSI – Service DeskTel. : +33 (0)1 60 18 83 00</t>
  </si>
  <si>
    <t>S260624_050</t>
  </si>
  <si>
    <t>1 x Demande de certificat / Keytab : 0 EURType de demande : CertificatNom DNS souhaité : supevalhpr-val.comon</t>
  </si>
  <si>
    <t>S260624_113</t>
  </si>
  <si>
    <t>BEN KRIDIS, Amira</t>
  </si>
  <si>
    <t>G361018</t>
  </si>
  <si>
    <t xml:space="preserve">
Bonjour, iphone pré-enrolé.</t>
  </si>
  <si>
    <t>S260624_131</t>
  </si>
  <si>
    <t>1 x Demande de certificat / Keytab : 0 EURType de demande : CertificatNom DNS souhaité : fluvius.comon</t>
  </si>
  <si>
    <t>S260624_149</t>
  </si>
  <si>
    <t>S260624_176</t>
  </si>
  <si>
    <t>S260624_282</t>
  </si>
  <si>
    <t>GHARBI, Rihab</t>
  </si>
  <si>
    <t>G507999</t>
  </si>
  <si>
    <t>1 x Masterisation d'un poste : 0 EURChoix de l'OS : WindowsDoit-on sauvegarder les données ? : NonNom de l'ancien propriétaire : SGHAIER NourN° de code barre du PC concerné par la masterisation : P1311971Trigramme site (pour hostname PC) : qso</t>
  </si>
  <si>
    <t xml:space="preserve">
Bonjour ,Demande traitée, veuillez passer au bureau IT Cdt,</t>
  </si>
  <si>
    <t>S260625_093</t>
  </si>
  <si>
    <t>1 x PC accessoires : 0 EURN° étiquette du PC (ou modèle) : P1313557Autres accessoires : OuiAutre (préciser l'équipement et la taille) : adaptateur Type C - HDMICentre de coût : S250201</t>
  </si>
  <si>
    <t xml:space="preserve">
 @équipe IT : si le stock est épuisé, merci de contacter BEN MANSOUR Hakim pour lancer une demande d'achat
Bonjour,Demande bien traitéCdt.</t>
  </si>
  <si>
    <t>S260625_131</t>
  </si>
  <si>
    <t xml:space="preserve">
Accepter       Pour accepter la demande, cliquez simplement sur le bouton d'envoi de ce mail. Ne modifiez pas le texte ci dessous @OPERATION@='SOLVE' @RFC_NUMBER@='S260625_131' @CHOICE@='1'   
Bonjour,​DEmande est disponible, veuillez passer au bureau IT Cdt,</t>
  </si>
  <si>
    <t>S260625_293</t>
  </si>
  <si>
    <t xml:space="preserve">1 x Prêt matériel informatique : 0 EURFormat : LaptopType : TestConfiguration : Configuration développementOS : Socle (Linux domaine sagemcom)Date de début du prêt : 02/07/2026Date de fin de prêt (6 mois maximum) : 03/07/2026Email de validation de son DIR pôle à joindre : test.docxComplément d information : Bonjour 
Pour la formation middelware Prpl DEV qui sera assurée par Ismail BOUZAIENE LES 02 et 03 juillet besoin s'il vous plaît de 
:• Laptops avec socle 12• acces reseau sagemcom
</t>
  </si>
  <si>
    <t xml:space="preserve">
bonjourles laptops de formation sont dispo  l'os :socle 12 nom  &amp; prénomS/N de laptop stock OSMohamed mahdi ben hendaRASITsocle 12Ranya BRINSIp1312482ITHamza CHAOUCH RASITMarwa BHOURIRASITAmal JOMAARASITSana GHILOUFIP1312316IT</t>
  </si>
  <si>
    <t>S260625_330</t>
  </si>
  <si>
    <t>EZZINE, Sana</t>
  </si>
  <si>
    <t>G361070</t>
  </si>
  <si>
    <t>1 x Installation réseau ou téléphone fixe : 0 EURDemande Réseau ou Téléphonie : RéseauBesoin extention cablage reseau : ETLdésignation : Bonjour, 
Pouvez vous débloquer l'accès sur Global protect</t>
  </si>
  <si>
    <t>S260625_335</t>
  </si>
  <si>
    <t>1 x Demande de certificat / Keytab : 0 EURType de demande : CertificatNom DNS souhaité : genericdc.comon</t>
  </si>
  <si>
    <t>S260626_094</t>
  </si>
  <si>
    <t>1 x PC accessoires : 0 EURN° étiquette du PC (ou modèle) : P1309007Autres accessoires : NonCentre de coût : S250300</t>
  </si>
  <si>
    <t xml:space="preserve">
Accepter      Pour accepter la demande, cliquez simplement sur le bouton d'envoi de ce mail. Ne modifiez pas le texte ci dessous @OPERATION@='SOLVE' @RFC_NUMBER@='S260626_094' @CHOICE@='1'  
Bonjour,Demande traité.Ajouter une Barrette de 8GoCordialement.</t>
  </si>
  <si>
    <t>S260626_099</t>
  </si>
  <si>
    <t>1 x Demande de certificat / Keytab : 0 EURType de demande : CertificatNom DNS souhaité : keyscentralserver-val.coord2g.comon</t>
  </si>
  <si>
    <t>S260626_100</t>
  </si>
  <si>
    <t>1 x Demande de certificat / Keytab : 0 EURType de demande : CertificatNom DNS souhaité : keyscentralserver-prod.coord2g.comon</t>
  </si>
  <si>
    <t>S260629_071</t>
  </si>
  <si>
    <t>MHAMDI, Seifeddine</t>
  </si>
  <si>
    <t>G701066</t>
  </si>
  <si>
    <t>1 x Gestion des flux : 0 EURTitre : ouverture de flux vers Rapid7 AWS via VPN SST/KRMAction demandée : CréationProjet/Application : Rapid7 DSSI AWSService/CI associé au serveur : CORP_DSSISite destination : AutreAutre site : https://ec2-54-73-19-39.eu-west-1.compute.amazonaws.com:3780/login.jspAdresses IP sources : VPN SSTAdresses IP destination : https://ec2-54-73-19-39.eu-west-1.compute.amazonaws.com:3780/login.jspPort destination : https://ec2-54-73-19-39.eu-west-1.compute.amazonaws.com:3780/login.jspDate de début de la mission : 29/06/2026Matrice de flux : Matrice_de_Flux_template.xlsx</t>
  </si>
  <si>
    <t>S260629_135</t>
  </si>
  <si>
    <t>1 x PC Laptop : 0 EUR1 x Laptop standard : 798.24 USD1 x Aucun écran :   USD1 x Aucun sac :   EURType : Intégré au domaine SagemcomConfiguration : Configuration validationOS : WindowsClavier : AZERTYCentre de coût : S250530Email de validation de son DIR pôle à joindre : Changement laptop _ Problème Batterie .msg</t>
  </si>
  <si>
    <t xml:space="preserve">
@équipe IT : ok pour un remplacement par un nouveau laptop</t>
  </si>
  <si>
    <t>S260629_154</t>
  </si>
  <si>
    <t>1 x Gestion des flux : 0 EURTitre : Ouverture du flux vers nouveaux APIs GoogleAction demandée : ModificationProjet/Application : Coord. 2G BBS (Moteur)Service/CI associé au serveur : CORP_COORDINATEUR_BBS_2GSite destination : AutreAutre site : api.prd.gfiber.com, api.gfiber.comAdresses IP sources : 10.81.129.130Adresses IP destination : 34.49.40.4 - via proxy avec filtrage d'URLPort destination : 443Matrice de flux : Matrice_de_Flux_2G_BBS_GFiber_APIs.xlsx</t>
  </si>
  <si>
    <t>S260629_209</t>
  </si>
  <si>
    <t xml:space="preserve">
Bonjour,Le nécessaire a été fait.Cordialement</t>
  </si>
  <si>
    <t>S260629_218</t>
  </si>
  <si>
    <t>1 x Gestion des flux : 0 EURTitre : ingenieur devAction demandée : CréationProjet/Application : WaterMeterService/CI associé au serveur : BLB_INFRA_NETWORKSite destination : BLB (France/Bois Colombes)Adresses IP sources : g702003Adresses IP destination : https://jenkins1-gwa.rmm.scom/Port destination : 443Date de début de la mission : 29/06/2026</t>
  </si>
  <si>
    <t>S260629_230</t>
  </si>
  <si>
    <t>BEN CHEIKH, Molka</t>
  </si>
  <si>
    <t>G801376</t>
  </si>
  <si>
    <t>S260629_232</t>
  </si>
  <si>
    <t>S260629_233</t>
  </si>
  <si>
    <t>MFARREJ, Zeineb</t>
  </si>
  <si>
    <t>G801378</t>
  </si>
  <si>
    <t>S260629_234</t>
  </si>
  <si>
    <t>S260629_265</t>
  </si>
  <si>
    <t>S260629_289</t>
  </si>
  <si>
    <t>1 x Demande de certificat / Keytab : 0 EURType de demande : CertificatNom DNS souhaité : rmm-cryptoserver-prod.comon</t>
  </si>
  <si>
    <t>S260629_290</t>
  </si>
  <si>
    <t>1 x Demande de certificat / Keytab : 0 EURType de demande : CertificatNom DNS souhaité : rmm-cryptoserver-val.comon</t>
  </si>
  <si>
    <t>S260630_012</t>
  </si>
  <si>
    <t>BEN SALAH, Mayssa</t>
  </si>
  <si>
    <t>G801299</t>
  </si>
  <si>
    <t>S260630_014</t>
  </si>
  <si>
    <t>BEN HASSINE, Safa</t>
  </si>
  <si>
    <t>G801319</t>
  </si>
  <si>
    <t>S260630_016</t>
  </si>
  <si>
    <t>S260630_017</t>
  </si>
  <si>
    <t>S260630_019</t>
  </si>
  <si>
    <t xml:space="preserve"> x Aftersales : 0 EURSélectionner le bénéficiaire : AL BULUSHI, MarwanAction : CréationProfile : Customer</t>
  </si>
  <si>
    <t>S260630_021</t>
  </si>
  <si>
    <t xml:space="preserve"> x Aftersales : 0 EURSélectionner le bénéficiaire : MAZIN AL ZOUBI, AhmedAction : CréationProfile : Customer</t>
  </si>
  <si>
    <t>S260630_022</t>
  </si>
  <si>
    <t xml:space="preserve"> x Aftersales : 0 EURSélectionner le bénéficiaire : AL JAHWARI, SultanAction : CréationProfile : Customer</t>
  </si>
  <si>
    <t>S260630_195</t>
  </si>
  <si>
    <t>WAFI, Mariem</t>
  </si>
  <si>
    <t>G551462</t>
  </si>
  <si>
    <t>S260630_228</t>
  </si>
  <si>
    <t>NOUMA, Imen</t>
  </si>
  <si>
    <t>G801372</t>
  </si>
  <si>
    <t>S260630_231</t>
  </si>
  <si>
    <t>1 x Groupes AD : 0 EURAction : AffectationGroupe(s) : sst_scretd; SCOM-EPM-LowFlex</t>
  </si>
  <si>
    <t xml:space="preserve">
Accepter       Pour accepter la demande, cliquez simplement sur le bouton d'envoi de ce mail. Ne modifiez pas le texte ci dessous @OPERATION@='SOLVE' @RFC_NUMBER@='S260630_231' @CHOICE@='1'   
groupes ajoutés </t>
  </si>
  <si>
    <t>S260630_232</t>
  </si>
  <si>
    <t>ATA, Ahmed</t>
  </si>
  <si>
    <t>G801373</t>
  </si>
  <si>
    <t>S260630_234</t>
  </si>
  <si>
    <t>1 x Groupes AD : 0 EURAction : AffectationGroupe(s) : sst_scretd; SCOM-EPM-FlowFlex</t>
  </si>
  <si>
    <t xml:space="preserve">
Accepter       Pour accepter la demande, cliquez simplement sur le bouton d'envoi de ce mail. Ne modifiez pas le texte ci dessous @OPERATION@='SOLVE' @RFC_NUMBER@='S260630_234' @CHOICE@='1'   
    Bonjour,        Le droit a été ajoute.        Merci d'attendre le temps de synchro, au moins 2-4 heures.        Cordialement</t>
  </si>
  <si>
    <t>S260630_238</t>
  </si>
  <si>
    <t>DRIOUECH, Rami</t>
  </si>
  <si>
    <t>G801382</t>
  </si>
  <si>
    <t>S260630_240</t>
  </si>
  <si>
    <t>S260630_243</t>
  </si>
  <si>
    <t>RACHDI, Iyed</t>
  </si>
  <si>
    <t>G801383</t>
  </si>
  <si>
    <t>S260630_244</t>
  </si>
  <si>
    <t>S260630_246</t>
  </si>
  <si>
    <t>GUESMI, Baderddine</t>
  </si>
  <si>
    <t>G801384</t>
  </si>
  <si>
    <t>S260630_247</t>
  </si>
  <si>
    <t>S260630_252</t>
  </si>
  <si>
    <t>BOUSABBAT, Marwen</t>
  </si>
  <si>
    <t>G801385</t>
  </si>
  <si>
    <t>S260630_253</t>
  </si>
  <si>
    <t>S260630_279</t>
  </si>
  <si>
    <t>AMDOUNI, Amel</t>
  </si>
  <si>
    <t>G542501</t>
  </si>
  <si>
    <t>1 x Masterisation d'un poste : 0 EURChoix de l'OS : LinuxDoit-on sauvegarder les données ? : NonNom de l'ancien propriétaire : Amdouni AmelN° de code barre du PC concerné par la masterisation : p1308113</t>
  </si>
  <si>
    <t xml:space="preserve">
Bonjour,Demande bien traité Cdt.</t>
  </si>
  <si>
    <t>MASMOUDI, Oussema</t>
  </si>
  <si>
    <t>MAROUFI, Walid</t>
  </si>
  <si>
    <t>SAMANDI, Sami</t>
  </si>
  <si>
    <t>BEN ABDALLAH, Mehdi</t>
  </si>
  <si>
    <t>GAVOILLE, Laurent</t>
  </si>
  <si>
    <t>S260119_407</t>
  </si>
  <si>
    <t>TALEB ALI, Mariem</t>
  </si>
  <si>
    <t>G701304</t>
  </si>
  <si>
    <t xml:space="preserve">1 x Installation réseau ou téléphone fixe : 0 EURDemande Réseau ou Téléphonie : RéseauBesoin extention cablage reseau : ATRdésignation : Bonjour,
Besoin de ligne  réseau Sagem 
Plateau : C0
Emplacement: G2
Port: D0-243
merci </t>
  </si>
  <si>
    <t xml:space="preserve">
Bonjour Merci de tester port 243 cdt
Bonjour,la ligne  243 n'est pas pratique, le support de port est cassé.Merci de le voir.Mariem
Bonjour,Problème résolu.Cdt,</t>
  </si>
  <si>
    <t>S260122_257</t>
  </si>
  <si>
    <t>1 x Serveur : 0 USD Titre : RMM08471 Décommissionnement Action : Décommissionnement Nom du serveur (recherche par nom ou IP) : rmm08471 Serveur non trouvé dans la liste ci-dessus : 0 Date d'arrêt : 15/02/2026 Besoin d'une sauvegarde : Oui</t>
  </si>
  <si>
    <t xml:space="preserve">
Sortie Inventaire / PMAD
Suppression de l'ip effectuée sur IPAM et firewalls --&gt; RMM08471,10.81.130.43
Suppression de l'ip effectuée sur IPAM et firewalls --&gt; RMM08471,10.81.130.43</t>
  </si>
  <si>
    <t>S260122_310</t>
  </si>
  <si>
    <t>1 x Serveur : 0 USD Titre : RMM08469 Décommissionnement Action : Décommissionnement Nom du serveur (recherche par nom ou IP) : rmm08469 Serveur non trouvé dans la liste ci-dessus : 0 Date d'arrêt : 28/02/2026 Besoin d'une sauvegarde : Oui</t>
  </si>
  <si>
    <t xml:space="preserve">
Sortie inventaire
Suppression de l'ip effectuée sur IPAM et firewalls
Suppression de l'ip effectuée sur IPAM et firewalls --&gt; RMM08469,10.81.130.37</t>
  </si>
  <si>
    <t>S260122_330</t>
  </si>
  <si>
    <t>1 x Serveur : 0 USD Titre : RMM08461 Decommissionnement Action : Décommissionnement Nom du serveur (recherche par nom ou IP) : rmm08461 Serveur non trouvé dans la liste ci-dessus : 0 Date d'arrêt : 28/02/2026 Besoin d'une sauvegarde : Oui</t>
  </si>
  <si>
    <t xml:space="preserve">
Service migré sur blb28012.ads.local
Sortie Inventaire / PMAD
Suppression de l'ip effectuée sur IPAM et firewalls
Reutilisation de l'IPGarde le nom pour compatibilité applicative</t>
  </si>
  <si>
    <t>S260122_335</t>
  </si>
  <si>
    <t>1 x Serveur : 0 USD Titre : RMM08467 Decommissionnement Action : Décommissionnement Nom du serveur (recherche par nom ou IP) : rmm08467 Serveur non trouvé dans la liste ci-dessus : 0 Date d'arrêt : 28/02/2026 Besoin d'une sauvegarde : Oui</t>
  </si>
  <si>
    <t xml:space="preserve">
Sortie Inventire
Sortie inventaire
Suppression de l'ip effectuée sur IPAM et firewalls sur l'ip du serveur RMM08467,10.81.130.39
Suppression de l'ip effectuée sur IPAM et firewalls sur l'ip du serveur RMM08467,10.81.130.39</t>
  </si>
  <si>
    <t>S260213_180</t>
  </si>
  <si>
    <t>HAYOUNI, Mahdi</t>
  </si>
  <si>
    <t>G800063</t>
  </si>
  <si>
    <t>1 x PC accessoires : 0 EUR1 x Filtre de confidentialité : 27 USD1 x Câble de sécurité : 13.04 USD1 x Sac à dos Laptop : 16.7 EURN° étiquette du PC (ou modèle) : 1313572Autres accessoires : NonCentre de coût : S250300</t>
  </si>
  <si>
    <t xml:space="preserve">
demande annulée </t>
  </si>
  <si>
    <t>S260217_048</t>
  </si>
  <si>
    <t>GANNOUN, Yosra</t>
  </si>
  <si>
    <t>G800721</t>
  </si>
  <si>
    <t>1 x Licence Github Copilot (Code Assist) : 0 EURBU : AETGroupe : COPILOT_MEMBER_AET-CompteurModuleCommunCombien de fois pensez-vous utiliser cette licence par mois? : 20Justification : j'ai besoin de çaCentre de coût : S250300</t>
  </si>
  <si>
    <t>S260305_264</t>
  </si>
  <si>
    <t>1 x Mémoire : 60 EURAjout de : 8 GoType d'UC : FixeN° étiquette du PC (ou modèle) : P1309758Centre de coût : S250300</t>
  </si>
  <si>
    <t xml:space="preserve">
@équipe IT : merci d'intervenir 
à contacter MCHITA Karim en cas de besoin matériels 
Bonjour ;Demande traité.Changement du desktop effectué selon votre besoin.Cordialement.</t>
  </si>
  <si>
    <t>S260309_219</t>
  </si>
  <si>
    <t>CHAABENE, Fatma Ezzahra</t>
  </si>
  <si>
    <t>G361225</t>
  </si>
  <si>
    <t>1 x Installation réseau ou téléphone fixe : 0 EURDemande Réseau ou Téléphonie : RéseauBesoin extention cablage reseau : ATRdésignation : Bonjour,
Serait-il possible stp de configurer le port réseau D1433 avec le réseau sagemcom ?
Merci!
Cordialement,
Fatma</t>
  </si>
  <si>
    <t xml:space="preserve">
Bonjour,
Demande traitée.
Cdt,
Bonjour Demande annulé  cdt</t>
  </si>
  <si>
    <t>S260317_197</t>
  </si>
  <si>
    <t>1 x Gestion des flux : 0 EURTitre : Ouverture Flux RTS BBS pour les Scans sonde R7Action demandée : CréationProjet/Application : Scan RTS BBS via Sonde Rapid7Service/CI associé au serveur : SST_INFRA_NETWORK_SISite destination : SST (Tunisie/Megrine)Adresses IP sources : 10.206.249.239Adresses IP destination : ALL IPs RTS BBSPort destination : TCP:22,80,443,445,3389,135 | TCP:49152-65535 | UDP:53,161 | ICMPMatrice de flux : Matrice_de_Flux_SCan RTS R7.xlsx</t>
  </si>
  <si>
    <t>S260331_202</t>
  </si>
  <si>
    <t>SEBOUI, Ahmed</t>
  </si>
  <si>
    <t>G551617</t>
  </si>
  <si>
    <t>1 x PC accessoires : 0 EURN° étiquette du PC (ou modèle) : dellAutres accessoires : OuiAutre (préciser l'équipement et la taille) : ecran 27"Centre de coût : S250300</t>
  </si>
  <si>
    <t xml:space="preserve">
Bonjour,Demande est disponible veuillez passer au bureau IT Cdt, </t>
  </si>
  <si>
    <t>S260407_122</t>
  </si>
  <si>
    <t>1 x Serveur :   USD Titre : Free-radius  -QSO Action : Création Service/CI associé au serveur : SST_INFRA_NETWORK_SI Description serveur : vm freeradius-QSO Hébergement du serveur : Sur site distant Localisation : SST - Megrine/Sousse Type de serveur : Virtuel (VM) Nature du serveur : PROD Système d'exploitation du serveur : Debian 12 Espace disque du serveur (en Go) : 50GB RAM Serveur (en Go) : 6 Nombre de processeur et modèle pour serveur : 4 Date de mise en œuvre souhaitée : 07/04/2026 Temps d’interruption maximal pour des opérations de maintenance : 5 min Besoin réseau : Accès uniquement par Sagemcom Matrice de flux : 92633 Besoin en supervision : Oui Besoin en sauvegarde : Oui Description de ce qui doit être sauvegardé : vm freeradius- QSO Besoin d'une seconde sauvegarde sur un site distinct de Bois-Colombes : Non Besoin d'un alias DNS (à créer ou modifier) : Non Besoin certificat HTTPS : Oui Besoin d'envoyer des mails via nos passerelles SMTP : Non Responsable applicatif : BEHI, Walid - G361185 Contact technique : BEHI, Walid - G361185 Contact mainteneur : BEHI, Walid - G361185 Expression du besoin : Dans le cadre de la sécurisation de l'authentification vers les switch reseau, on passe par le serveur radius pour faire l'authetification Nom du serveur : QSO18012 Modèle : VMware Virtual Platform IP serveur : 10.208.246.218 Netmask : 10.208.246.1 Gateway : 255.255.255.0 Nouveau VLAN : Non VLAN : 246</t>
  </si>
  <si>
    <t xml:space="preserve">
QSO18012
la nouvelle IP : 10.208.246.218
Le flux Phoenix est déjà ouvert depuis QSO vers BLB</t>
  </si>
  <si>
    <t>S260410_126</t>
  </si>
  <si>
    <t>BEN MASSOUD, Mahdi</t>
  </si>
  <si>
    <t>G701622</t>
  </si>
  <si>
    <t xml:space="preserve">
Accepter      Pour accepter la demande, cliquez simplement sur le bouton d'envoi de ce mail. Ne modifiez pas le texte ci dessous @OPERATION@='SOLVE' @RFC_NUMBER@='S260410_126' @CHOICE@='1'         Rachid BRAHMI            Administrateur Réseaux, Direction des Systèmes d’Information     Adresse postale : 4 Allée des Messageries, 92270 Bois-Colombes Adresse de livraison : Sagemcom chez ExcelCourses, 50 rue Ardoin – Bat B / lot 552, 93400 Saint-Ouen-sur-Seine Tél. : +33 (0)1 57 61 17 29 | Mobile : +33 (0)6 07 56 42 39       Suivez-nous :                            </t>
  </si>
  <si>
    <t>S260413_049</t>
  </si>
  <si>
    <t xml:space="preserve">
Accepter      Pour accepter la demande, cliquez simplement sur le bouton d'envoi de ce mail. Ne modifiez pas le texte  ci dessous @OPERATION@='SOLVE' @RFC_NUMBER@='S260413_049' @CHOICE@='1'       Téléchargez Outlook pour iOS  
Bonjour ,Demande traité.Cordialement</t>
  </si>
  <si>
    <t>S260413_157</t>
  </si>
  <si>
    <t>AZAIEZ, Mohamed</t>
  </si>
  <si>
    <t>G545769</t>
  </si>
  <si>
    <t>1 x PC accessoires : 0 EUR1 x Sac à dos Laptop : 16.7 EURN° étiquette du PC (ou modèle) : P1313259Autres accessoires : NonCentre de coût : S250201</t>
  </si>
  <si>
    <t xml:space="preserve">
 @équipe IT : si le stock est épuisé, merci de contacter BEN MANSOUR Hakim pour lancer une demande d'achat
Bonjour,Demande bien traitéCordialement.</t>
  </si>
  <si>
    <t>S260415_239</t>
  </si>
  <si>
    <t>2 x PC Laptop : 0 EUR2 x Laptop standard : 1596.48 USD2 x Aucun écran :   USD2 x Câble de sécurité : 26.08 USD2 x Filtre de confidentialité : 54 USD2 x Sac à dos Laptop : 33.4 EURType : Intégré au domaine SagemcomConfiguration : Configuration développementOS : Socle (Linux domaine sagemcom)Clavier : AZERTYCentre de coût : S250205Email de validation de son DIR pôle à joindre : test.txt</t>
  </si>
  <si>
    <t xml:space="preserve">
@équipe IT : on a recu l approbation de Mehdi 
merci de procéder à la préparation des pcs 
bonjourles 2 laptops Khalil et Oussama  sont dispo S/N:FFSJQG3 , 57ZPQG3l'os : socle 12cordialement </t>
  </si>
  <si>
    <t>S260420_339</t>
  </si>
  <si>
    <t>1 x Licence Github Copilot (Code Assist) : 0 EURBU : AETGroupe : COPILOT_MEMBER_AET-CompteurModuleCommunCombien de fois pensez-vous utiliser cette licence par mois? : 30Justification : en tant qu'ingénieur embarquer j'aurais besoin de copilot pour mes quotidiens pour:-comprendre de spécifications techniques-Améliorer et optimiser la qualité du code-faire de revues techniques-pour la documentation et emailsCentre de coût : S250300</t>
  </si>
  <si>
    <t>S260430_144</t>
  </si>
  <si>
    <t>HAOUEL, Jihen</t>
  </si>
  <si>
    <t>G361301</t>
  </si>
  <si>
    <t>1 x PC Laptop : 0 EUR1 x Laptop standard : 798.24 USD1 x Aucun écran :   USD1 x Filtre de confidentialité : 27 USD1 x Aucun sac :   EURType : Intégré au domaine SagemcomConfiguration : Configuration développementOS : WindowsClavier : AZERTYCentre de coût : S250300Email de validation de son DIR pôle à joindre : OK-PC.jpg</t>
  </si>
  <si>
    <t xml:space="preserve">
Bonjour,Demande traitée IMMO: p1313586Modèle:Dell Pro 14 (PC14250) XCTO Base - i5OS: windows 11Cdt,</t>
  </si>
  <si>
    <t>S260507_112</t>
  </si>
  <si>
    <t>BENNACEUR, Anwar</t>
  </si>
  <si>
    <t>G361542</t>
  </si>
  <si>
    <t xml:space="preserve">
Accepter      Pour accepter la demande, cliquez simplement sur le bouton d'envoi de ce mail. Ne modifiez pas le texte ci dessous @OPERATION@='SOLVE' @RFC_NUMBER@='S260507_112' @CHOICE@='1'         Rachid BRAHMI            Administrateur Réseaux, Direction des Systèmes d’Information     Adresse postale : 4 Allée des Messageries, 92270 Bois-Colombes Adresse de livraison : Sagemcom chez ExcelCourses, 50 rue Ardoin – Bat B / lot 552, 93400 Saint-Ouen-sur-Seine Tél. : +33 (0)1 57 61 17 29 | Mobile : +33 (0)6 07 56 42 39       Suivez-nous :                            </t>
  </si>
  <si>
    <t>S260507_259</t>
  </si>
  <si>
    <t>1 x PC accessoires : 0 EUR1 x Sac à dos Laptop : 16.7 EURN° étiquette du PC (ou modèle) : P1310806Autres accessoires : NonCentre de coût : S250201</t>
  </si>
  <si>
    <t xml:space="preserve">
 @équipe IT : si le stock est épuisé, merci de contacter BEN MANSOUR Hakim pour lancer une demande d'achat
bonjoursac a dos est disponiblecordialement</t>
  </si>
  <si>
    <t>S260514_124</t>
  </si>
  <si>
    <t>1 x PC accessoires : 0 EUR1 x PC portable alimentation : 20 USDN° étiquette du PC (ou modèle) : P1312322Autres accessoires : NonCentre de coût : S250206</t>
  </si>
  <si>
    <t xml:space="preserve">
@équipe IT : pas de devis validé pour le moment 
on affecte un chargeur du stock actuel 
Accepter      Pour accepter la demande, cliquez simplement sur le bouton d'envoi de ce mail. Ne modifiez pas le texte ci dessous @OPERATION@='SOLVE' @RFC_NUMBER@='S260514_124' @CHOICE@='1'         Ayada Hassine          Responsable Qualité Environnement SS&amp;T / Responsable bureau d’etude SS&amp;T     2-Information Interne Sagemcom – Interdiction de communiquer en externe sans autorisation  de la direction concernée - Ce document et les informations qu’il contient sont la propriété de Sagemcom. Ils ne doivent pas être reproduits, représentés, divulgués à un/des tiers, ni utilisés à d’autres fins que celles pour lesquelles ils ont été établis  et transmis.     
Bonjour,Demande bien traitéCordialement.</t>
  </si>
  <si>
    <t xml:space="preserve">
Bonjour,Les laptop sont disponibles :table 	{mso-displayed-decimal-separator:"\,"; 	mso-displayed-thousand-separator:" ";} tr 	{mso-height-source:auto;} col 	{mso-width-source:auto;} td 	{padding-top:1px; 	padding-right:1px; 	padding-left:1px; 	mso-ignore:padding; 	color:black; 	font-size:11.0pt; 	font-weight:400; 	font-style:normal; 	text-decoration:none; 	font-family:"Aptos Narrow", sans-serif; 	mso-font-charset:0; 	text-align:general; 	vertical-align:bottom; 	border:none; 	white-space:nowrap; 	mso-rotate:0;} .xl16 	{font-size:12.0pt; 	font-weight:700; 	font-family:Calibri, sans-serif; 	mso-font-charset:0; 	text-align:center; 	vertical-align:middle; 	border:.5pt solid windowtext; 	background:#70A8E0; 	mso-pattern:black none; 	white-space:normal;} .xl21 	{text-align:center; 	vertical-align:middle; 	border:.5pt solid windowtext;} .xl44 	{font-size:12.0pt; 	font-family:Aptos, sans-serif; 	mso-font-charset:0; 	text-align:center; 	vertical-align:middle; 	border:.5pt solid windowtext; 	white-space:normal;} matriculenom  pénomS/N de laptop 701304TALEB ALIMariemp1312316700534TRABELSIFedip1312289701738BEN AMMARRamip1311886700527SAYADIOmaymap1311712573269GHANMIHomemp1312496701935CHMENGUIAymenp1311891Cordialement.</t>
  </si>
  <si>
    <t xml:space="preserve">
Accepter       Pour accepter la demande, cliquez simplement sur le bouton d'envoi de ce mail. Ne modifiez pas le texte ci dessous @OPERATION@='SOLVE' @RFC_NUMBER@='S260515_148' @CHOICE@='1'   
bonjour​laptop est disponibleS/N:54DB6F4l'os :socle 12cordialement</t>
  </si>
  <si>
    <t>S260519_109</t>
  </si>
  <si>
    <t>HABIBI, Amal</t>
  </si>
  <si>
    <t>G573625</t>
  </si>
  <si>
    <t xml:space="preserve">
Bonjour,​Je vous informe que nous allons clôturer le ticket concernant le hub USB, car ces équipements ne sont pas fournis par notre service. Pour toute demande à ce sujet, je vous invite à contacter directement Karim Mchita.Merci de votre compréhension.​Cordialement,</t>
  </si>
  <si>
    <t>S260519_148</t>
  </si>
  <si>
    <t>AZAIEZ, Montassar</t>
  </si>
  <si>
    <t>G573596</t>
  </si>
  <si>
    <t>1 x PC Laptop : 0 EUR1 x Laptop standard : 798.24 USD1 x Aucun écran :   USD1 x Câble de sécurité : 13.04 USD1 x Filtre de confidentialité : 27 USD1 x Sacoche Laptop : 16 EURType : Intégré au domaine SagemcomConfiguration : Configuration développementOS : WindowsClavier : AZERTYCentre de coût : S250300Email de validation de son DIR pôle à joindre : RE Réversibilité compteur GRDF cadre juridique .msg</t>
  </si>
  <si>
    <t xml:space="preserve">
BonjourDemande traitéeS/N:p1313707Modele:dell pro 14Os: windows 11 hors domaine CdtSANA</t>
  </si>
  <si>
    <t>S260520_070</t>
  </si>
  <si>
    <t>1 x PC accessoires : 0 EUR1 x PC portable alimentation : 20 USDN° étiquette du PC (ou modèle) : 1312490Autres accessoires : NonCentre de coût : S250101</t>
  </si>
  <si>
    <t xml:space="preserve">
Bonjour, Les laptops de formation Networking IPV6 Dev sont disponibles  matriculenom  pénomS/N de laptop stock OS702069FATTOUMIAhmed Ibrahimp1311888ITlinux701955MEJRIWassimp1311891IT700761MHIRIAchrafP1312496IT573133BRAHIMLamia Hamidap1311712IT702389OULED SAIDHazemp1311886IT  Cordialement.</t>
  </si>
  <si>
    <t>S260522_047</t>
  </si>
  <si>
    <t xml:space="preserve">
BonjourDemande traitéeCdt</t>
  </si>
  <si>
    <t>S260522_224</t>
  </si>
  <si>
    <t>KCHAOU, Ahmed</t>
  </si>
  <si>
    <t>G702004</t>
  </si>
  <si>
    <t>1 x Demande informatique hors catalogue : 0 EURMerci de préciser votre besoin : AutreDescription : Le mot de passe de PC de Test n’est pas accepté par le système malgré plusieurs tentatives.Centre de coût : S250300</t>
  </si>
  <si>
    <t>S260522_255</t>
  </si>
  <si>
    <t>1 x Gestion des flux : 0 EURTitre : Ouverture Flux RTS E&amp;T pour les Scans sonde R7Action demandée : CréationProjet/Application : Scan RTS E&amp;T via Sonde Rapid7Service/CI associé au serveur : SST_INFRA_NETWORK_SISite destination : SST (Tunisie/Megrine)Adresses IP sources : 10.206.249.239Adresses IP destination : ALL Subnets RTS E&amp;TPort destination : ALL | OR [ TCP:22,80,443,445,3389,135 | TCP:49152-65535 | UDP:53,161 | ICMP ]Matrice de flux : Matrice_de_Flux_SCan RTS E&amp;T R7.xlsx</t>
  </si>
  <si>
    <t>kram / BBS</t>
  </si>
  <si>
    <r>
      <t xml:space="preserve">*Historique de traitement : 
</t>
    </r>
    <r>
      <rPr>
        <sz val="11"/>
        <color theme="1"/>
        <rFont val="Calibri"/>
        <family val="2"/>
        <scheme val="minor"/>
      </rPr>
      <t>-15/04/2026 : création de la demande
-15/04/2026 : validation technico-fonctionnel</t>
    </r>
    <r>
      <rPr>
        <b/>
        <sz val="11"/>
        <color theme="1"/>
        <rFont val="Calibri"/>
        <family val="2"/>
        <scheme val="minor"/>
      </rPr>
      <t xml:space="preserve">
</t>
    </r>
    <r>
      <rPr>
        <sz val="11"/>
        <color theme="1"/>
        <rFont val="Calibri"/>
        <family val="2"/>
        <scheme val="minor"/>
      </rPr>
      <t>-17/04/2026 : validation hiérarchique</t>
    </r>
    <r>
      <rPr>
        <b/>
        <sz val="11"/>
        <color theme="1"/>
        <rFont val="Calibri"/>
        <family val="2"/>
        <scheme val="minor"/>
      </rPr>
      <t xml:space="preserve">
</t>
    </r>
    <r>
      <rPr>
        <sz val="11"/>
        <color theme="1"/>
        <rFont val="Calibri"/>
        <family val="2"/>
        <scheme val="minor"/>
      </rPr>
      <t>-08/06/2026 : validation financiere</t>
    </r>
    <r>
      <rPr>
        <b/>
        <sz val="11"/>
        <color theme="1"/>
        <rFont val="Calibri"/>
        <family val="2"/>
        <scheme val="minor"/>
      </rPr>
      <t xml:space="preserve">
</t>
    </r>
    <r>
      <rPr>
        <sz val="11"/>
        <color theme="1"/>
        <rFont val="Calibri"/>
        <family val="2"/>
        <scheme val="minor"/>
      </rPr>
      <t>-08/06/2026 : changement le statut du ticket à "suspendu" , le stock des chargeurs est épuisé</t>
    </r>
    <r>
      <rPr>
        <b/>
        <sz val="11"/>
        <color theme="1"/>
        <rFont val="Calibri"/>
        <family val="2"/>
        <scheme val="minor"/>
      </rPr>
      <t xml:space="preserve">
</t>
    </r>
    <r>
      <rPr>
        <sz val="11"/>
        <color theme="1"/>
        <rFont val="Calibri"/>
        <family val="2"/>
        <scheme val="minor"/>
      </rPr>
      <t>-22/06/2026 : traitement de la demande</t>
    </r>
    <r>
      <rPr>
        <b/>
        <sz val="11"/>
        <color theme="1"/>
        <rFont val="Calibri"/>
        <family val="2"/>
        <scheme val="minor"/>
      </rPr>
      <t xml:space="preserve">
</t>
    </r>
    <r>
      <rPr>
        <sz val="11"/>
        <color theme="1"/>
        <rFont val="Calibri"/>
        <family val="2"/>
        <scheme val="minor"/>
      </rPr>
      <t>--&gt; SLA dépassé pour le traitement de cette demande en raison d'une rupture de stock des chargeurs --&gt; anticipper l'approvisoirement et l'achat des chargeurs afin d'éviter toute rupture de stock à l'avenir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</si>
</sst>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font>
  </fonts>
  <fills count="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22" fontId="0" fillId="0" borderId="1" xfId="0" applyNumberFormat="1" applyBorder="1" applyAlignment="1">
      <alignment horizontal="center" vertical="center"/>
    </xf>
    <xf numFmtId="0" fontId="0" fillId="0" borderId="1" xfId="0" applyBorder="1" applyAlignment="1">
      <alignment horizontal="center" vertical="center" wrapText="1"/>
    </xf>
    <xf numFmtId="46" fontId="0" fillId="0" borderId="1" xfId="0" applyNumberFormat="1" applyBorder="1" applyAlignment="1">
      <alignment horizontal="center" vertical="center"/>
    </xf>
    <xf numFmtId="20" fontId="0" fillId="0" borderId="1" xfId="0" applyNumberForma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xf>
    <xf numFmtId="10" fontId="0" fillId="0" borderId="1" xfId="0" applyNumberFormat="1" applyBorder="1" applyAlignment="1">
      <alignment horizontal="center" vertical="center"/>
    </xf>
    <xf numFmtId="0" fontId="1" fillId="2" borderId="1" xfId="0" applyFont="1" applyFill="1" applyBorder="1" applyAlignment="1">
      <alignment horizontal="center" vertical="center"/>
    </xf>
    <xf numFmtId="17" fontId="1" fillId="0" borderId="1" xfId="0" applyNumberFormat="1" applyFont="1" applyBorder="1" applyAlignment="1">
      <alignment horizontal="center" vertical="center"/>
    </xf>
    <xf numFmtId="0" fontId="1" fillId="4" borderId="1" xfId="0" applyFont="1" applyFill="1" applyBorder="1" applyAlignment="1">
      <alignment horizontal="center" vertical="center"/>
    </xf>
    <xf numFmtId="0" fontId="1" fillId="0" borderId="0" xfId="0" applyFont="1" applyAlignment="1">
      <alignment horizontal="center" vertical="center"/>
    </xf>
    <xf numFmtId="10" fontId="0" fillId="0" borderId="0" xfId="0" applyNumberFormat="1" applyAlignment="1">
      <alignment horizontal="center" vertical="center"/>
    </xf>
    <xf numFmtId="0" fontId="1" fillId="0" borderId="1" xfId="0" applyFont="1" applyBorder="1" applyAlignment="1">
      <alignment horizontal="center"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5" borderId="1" xfId="0" applyFont="1" applyFill="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0" fillId="4" borderId="2"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demandes de services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985341845409925E-2"/>
          <c:y val="0.21976626605884791"/>
          <c:w val="0.9307417716018086"/>
          <c:h val="0.64370401068287519"/>
        </c:manualLayout>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EA22-46D0-8025-481D03E9FB1A}"/>
              </c:ext>
            </c:extLst>
          </c:dPt>
          <c:dPt>
            <c:idx val="1"/>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EA22-46D0-8025-481D03E9FB1A}"/>
              </c:ext>
            </c:extLst>
          </c:dPt>
          <c:dPt>
            <c:idx val="2"/>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5-EA22-46D0-8025-481D03E9FB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TDB!$B$3:$B$5</c:f>
              <c:strCache>
                <c:ptCount val="3"/>
                <c:pt idx="0">
                  <c:v>Nbr des demandes ouvertes sur le mois</c:v>
                </c:pt>
                <c:pt idx="1">
                  <c:v>Nbr des demandes ouvertes et traitées sur le mois </c:v>
                </c:pt>
                <c:pt idx="2">
                  <c:v>Nbr des demandes globales Traitées sur le mois </c:v>
                </c:pt>
              </c:strCache>
            </c:strRef>
          </c:cat>
          <c:val>
            <c:numRef>
              <c:f>TDB!$C$3:$C$5</c:f>
              <c:numCache>
                <c:formatCode>General</c:formatCode>
                <c:ptCount val="3"/>
                <c:pt idx="0">
                  <c:v>277</c:v>
                </c:pt>
                <c:pt idx="1">
                  <c:v>228</c:v>
                </c:pt>
                <c:pt idx="2">
                  <c:v>308</c:v>
                </c:pt>
              </c:numCache>
            </c:numRef>
          </c:val>
          <c:extLst>
            <c:ext xmlns:c16="http://schemas.microsoft.com/office/drawing/2014/chart" uri="{C3380CC4-5D6E-409C-BE32-E72D297353CC}">
              <c16:uniqueId val="{00000006-EA22-46D0-8025-481D03E9FB1A}"/>
            </c:ext>
          </c:extLst>
        </c:ser>
        <c:dLbls>
          <c:showLegendKey val="0"/>
          <c:showVal val="1"/>
          <c:showCatName val="0"/>
          <c:showSerName val="0"/>
          <c:showPercent val="0"/>
          <c:showBubbleSize val="0"/>
        </c:dLbls>
        <c:gapWidth val="65"/>
        <c:shape val="box"/>
        <c:axId val="1029757391"/>
        <c:axId val="1029757871"/>
        <c:axId val="0"/>
      </c:bar3DChart>
      <c:catAx>
        <c:axId val="1029757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029757871"/>
        <c:crosses val="autoZero"/>
        <c:auto val="1"/>
        <c:lblAlgn val="ctr"/>
        <c:lblOffset val="100"/>
        <c:noMultiLvlLbl val="0"/>
      </c:catAx>
      <c:valAx>
        <c:axId val="10297578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102975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demandes de services par site</a:t>
            </a:r>
          </a:p>
        </c:rich>
      </c:tx>
      <c:layout>
        <c:manualLayout>
          <c:xMode val="edge"/>
          <c:yMode val="edge"/>
          <c:x val="0.29424446944131982"/>
          <c:y val="3.12279067049834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019-45EF-9297-F2F92568895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019-45EF-9297-F2F92568895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019-45EF-9297-F2F9256889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1"/>
            <c:showBubbleSize val="0"/>
            <c:showLeaderLines val="0"/>
            <c:extLst>
              <c:ext xmlns:c15="http://schemas.microsoft.com/office/drawing/2012/chart" uri="{CE6537A1-D6FC-4f65-9D91-7224C49458BB}"/>
            </c:extLst>
          </c:dLbls>
          <c:cat>
            <c:strRef>
              <c:f>TDB!$B$20:$B$22</c:f>
              <c:strCache>
                <c:ptCount val="3"/>
                <c:pt idx="0">
                  <c:v>Megrine </c:v>
                </c:pt>
                <c:pt idx="1">
                  <c:v>Kram </c:v>
                </c:pt>
                <c:pt idx="2">
                  <c:v>Sousse</c:v>
                </c:pt>
              </c:strCache>
            </c:strRef>
          </c:cat>
          <c:val>
            <c:numRef>
              <c:f>TDB!$C$20:$C$22</c:f>
              <c:numCache>
                <c:formatCode>General</c:formatCode>
                <c:ptCount val="3"/>
                <c:pt idx="0">
                  <c:v>152</c:v>
                </c:pt>
                <c:pt idx="1">
                  <c:v>81</c:v>
                </c:pt>
                <c:pt idx="2">
                  <c:v>44</c:v>
                </c:pt>
              </c:numCache>
            </c:numRef>
          </c:val>
          <c:extLst>
            <c:ext xmlns:c16="http://schemas.microsoft.com/office/drawing/2014/chart" uri="{C3380CC4-5D6E-409C-BE32-E72D297353CC}">
              <c16:uniqueId val="{00000006-0019-45EF-9297-F2F92568895A}"/>
            </c:ext>
          </c:extLst>
        </c:ser>
        <c:dLbls>
          <c:dLblPos val="ctr"/>
          <c:showLegendKey val="0"/>
          <c:showVal val="0"/>
          <c:showCatName val="0"/>
          <c:showSerName val="0"/>
          <c:showPercent val="1"/>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megrine répartition par pole</a:t>
            </a:r>
          </a:p>
        </c:rich>
      </c:tx>
      <c:layout>
        <c:manualLayout>
          <c:xMode val="edge"/>
          <c:yMode val="edge"/>
          <c:x val="0.18732156974354106"/>
          <c:y val="4.7834129904067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65-45ED-A682-E43AF582C9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65-45ED-A682-E43AF582C9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65-45ED-A682-E43AF582C9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65-45ED-A682-E43AF582C9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TDB!$B$25:$B$28</c:f>
              <c:strCache>
                <c:ptCount val="4"/>
                <c:pt idx="0">
                  <c:v>Megrine / AVS</c:v>
                </c:pt>
                <c:pt idx="1">
                  <c:v>Megrine / BBS</c:v>
                </c:pt>
                <c:pt idx="2">
                  <c:v>Megrine / E&amp;T</c:v>
                </c:pt>
                <c:pt idx="3">
                  <c:v>Megrine / supports</c:v>
                </c:pt>
              </c:strCache>
            </c:strRef>
          </c:cat>
          <c:val>
            <c:numRef>
              <c:f>TDB!$C$25:$C$28</c:f>
              <c:numCache>
                <c:formatCode>General</c:formatCode>
                <c:ptCount val="4"/>
                <c:pt idx="0">
                  <c:v>32</c:v>
                </c:pt>
                <c:pt idx="1">
                  <c:v>19</c:v>
                </c:pt>
                <c:pt idx="2">
                  <c:v>0</c:v>
                </c:pt>
                <c:pt idx="3">
                  <c:v>101</c:v>
                </c:pt>
              </c:numCache>
            </c:numRef>
          </c:val>
          <c:extLst>
            <c:ext xmlns:c16="http://schemas.microsoft.com/office/drawing/2014/chart" uri="{C3380CC4-5D6E-409C-BE32-E72D297353CC}">
              <c16:uniqueId val="{00000008-2265-45ED-A682-E43AF582C99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kram répartition par pole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F3-46B7-9E0E-26D4BA3BC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F3-46B7-9E0E-26D4BA3BC7FD}"/>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TDB!$B$29:$B$31</c:f>
              <c:strCache>
                <c:ptCount val="3"/>
                <c:pt idx="0">
                  <c:v>kram / E&amp;T</c:v>
                </c:pt>
                <c:pt idx="1">
                  <c:v>kram / supports</c:v>
                </c:pt>
                <c:pt idx="2">
                  <c:v>kram / BBS</c:v>
                </c:pt>
              </c:strCache>
            </c:strRef>
          </c:cat>
          <c:val>
            <c:numRef>
              <c:f>TDB!$C$29:$C$31</c:f>
              <c:numCache>
                <c:formatCode>General</c:formatCode>
                <c:ptCount val="3"/>
                <c:pt idx="0">
                  <c:v>67</c:v>
                </c:pt>
                <c:pt idx="1">
                  <c:v>13</c:v>
                </c:pt>
                <c:pt idx="2">
                  <c:v>1</c:v>
                </c:pt>
              </c:numCache>
            </c:numRef>
          </c:val>
          <c:extLst>
            <c:ext xmlns:c16="http://schemas.microsoft.com/office/drawing/2014/chart" uri="{C3380CC4-5D6E-409C-BE32-E72D297353CC}">
              <c16:uniqueId val="{00000004-D1F3-46B7-9E0E-26D4BA3BC7F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Sousse répartition par pole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7D-45F3-BB5D-678CD72140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24-4033-80CB-7B223DADB1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TDB!$B$32:$B$33</c:f>
              <c:strCache>
                <c:ptCount val="2"/>
                <c:pt idx="0">
                  <c:v>Sousse / E&amp;T</c:v>
                </c:pt>
                <c:pt idx="1">
                  <c:v>Sousse / supports</c:v>
                </c:pt>
              </c:strCache>
            </c:strRef>
          </c:cat>
          <c:val>
            <c:numRef>
              <c:f>TDB!$C$32:$C$33</c:f>
              <c:numCache>
                <c:formatCode>General</c:formatCode>
                <c:ptCount val="2"/>
                <c:pt idx="0">
                  <c:v>33</c:v>
                </c:pt>
                <c:pt idx="1">
                  <c:v>11</c:v>
                </c:pt>
              </c:numCache>
            </c:numRef>
          </c:val>
          <c:extLst>
            <c:ext xmlns:c16="http://schemas.microsoft.com/office/drawing/2014/chart" uri="{C3380CC4-5D6E-409C-BE32-E72D297353CC}">
              <c16:uniqueId val="{00000002-447D-45F3-BB5D-678CD72140E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fr-FR"/>
              <a:t>type des demandes ouvertes dans le mois de juin 2026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manualLayout>
          <c:layoutTarget val="inner"/>
          <c:xMode val="edge"/>
          <c:yMode val="edge"/>
          <c:x val="7.0551698279094424E-2"/>
          <c:y val="0.12604166666666666"/>
          <c:w val="0.91740670347241082"/>
          <c:h val="0.43066793374966061"/>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TDB!$B$48:$B$87</c:f>
              <c:strCache>
                <c:ptCount val="40"/>
                <c:pt idx="0">
                  <c:v>Souris</c:v>
                </c:pt>
                <c:pt idx="1">
                  <c:v>Ligne ADSL / Fibre / Câble</c:v>
                </c:pt>
                <c:pt idx="2">
                  <c:v>PC Laptop</c:v>
                </c:pt>
                <c:pt idx="3">
                  <c:v>PC accessoires</c:v>
                </c:pt>
                <c:pt idx="4">
                  <c:v>Infrastructure Cloud</c:v>
                </c:pt>
                <c:pt idx="5">
                  <c:v>Gestion des flux</c:v>
                </c:pt>
                <c:pt idx="6">
                  <c:v>ASKit MAJ CMDB</c:v>
                </c:pt>
                <c:pt idx="7">
                  <c:v>Hub USB</c:v>
                </c:pt>
                <c:pt idx="8">
                  <c:v>Demande d'entrée DNS</c:v>
                </c:pt>
                <c:pt idx="9">
                  <c:v>Demande de certificat / Keytab</c:v>
                </c:pt>
                <c:pt idx="10">
                  <c:v>Droits administrateur local</c:v>
                </c:pt>
                <c:pt idx="11">
                  <c:v>Masterisation d'un poste</c:v>
                </c:pt>
                <c:pt idx="12">
                  <c:v>PC Desktop</c:v>
                </c:pt>
                <c:pt idx="13">
                  <c:v>Demande d'accès bureautique</c:v>
                </c:pt>
                <c:pt idx="14">
                  <c:v>Accès PMAD</c:v>
                </c:pt>
                <c:pt idx="15">
                  <c:v>Mémoire</c:v>
                </c:pt>
                <c:pt idx="16">
                  <c:v>Accès Distant Sagemcom</c:v>
                </c:pt>
                <c:pt idx="17">
                  <c:v>Installation réseau ou téléphone fixe</c:v>
                </c:pt>
                <c:pt idx="18">
                  <c:v>Accès à un partage réseau</c:v>
                </c:pt>
                <c:pt idx="19">
                  <c:v>Prêt matériel informatique</c:v>
                </c:pt>
                <c:pt idx="20">
                  <c:v>Serveur</c:v>
                </c:pt>
                <c:pt idx="21">
                  <c:v>Sauvegarde Commvault Edge Monitor</c:v>
                </c:pt>
                <c:pt idx="22">
                  <c:v>Groupes AD</c:v>
                </c:pt>
                <c:pt idx="23">
                  <c:v>Licence Github Copilot (Code Assist)</c:v>
                </c:pt>
                <c:pt idx="24">
                  <c:v>Comptes GITIS</c:v>
                </c:pt>
                <c:pt idx="25">
                  <c:v>Licence IA</c:v>
                </c:pt>
                <c:pt idx="26">
                  <c:v>Messagerie individuelle</c:v>
                </c:pt>
                <c:pt idx="27">
                  <c:v>Demande informatique hors catalogue</c:v>
                </c:pt>
                <c:pt idx="28">
                  <c:v>Messagerie - Bal de Services, diffusions</c:v>
                </c:pt>
                <c:pt idx="29">
                  <c:v>Configuration Iphone</c:v>
                </c:pt>
                <c:pt idx="30">
                  <c:v>Sauvegarde / Restauration</c:v>
                </c:pt>
                <c:pt idx="31">
                  <c:v>MS Project</c:v>
                </c:pt>
                <c:pt idx="32">
                  <c:v>Adobe application</c:v>
                </c:pt>
                <c:pt idx="33">
                  <c:v>Droits Impression\imprimante couleur</c:v>
                </c:pt>
                <c:pt idx="34">
                  <c:v>Acces OTP</c:v>
                </c:pt>
                <c:pt idx="35">
                  <c:v>Jira Service Management Energy</c:v>
                </c:pt>
                <c:pt idx="36">
                  <c:v>Compte de service</c:v>
                </c:pt>
                <c:pt idx="37">
                  <c:v>Téléphone mobile SST/KRM</c:v>
                </c:pt>
                <c:pt idx="38">
                  <c:v>MS Power BI</c:v>
                </c:pt>
                <c:pt idx="39">
                  <c:v>Aftersales</c:v>
                </c:pt>
              </c:strCache>
            </c:strRef>
          </c:cat>
          <c:val>
            <c:numRef>
              <c:f>TDB!$C$48:$C$87</c:f>
              <c:numCache>
                <c:formatCode>General</c:formatCode>
                <c:ptCount val="40"/>
                <c:pt idx="0">
                  <c:v>11</c:v>
                </c:pt>
                <c:pt idx="1">
                  <c:v>1</c:v>
                </c:pt>
                <c:pt idx="2">
                  <c:v>12</c:v>
                </c:pt>
                <c:pt idx="3">
                  <c:v>31</c:v>
                </c:pt>
                <c:pt idx="4">
                  <c:v>3</c:v>
                </c:pt>
                <c:pt idx="5">
                  <c:v>40</c:v>
                </c:pt>
                <c:pt idx="6">
                  <c:v>23</c:v>
                </c:pt>
                <c:pt idx="7">
                  <c:v>5</c:v>
                </c:pt>
                <c:pt idx="8">
                  <c:v>3</c:v>
                </c:pt>
                <c:pt idx="9">
                  <c:v>11</c:v>
                </c:pt>
                <c:pt idx="10">
                  <c:v>1</c:v>
                </c:pt>
                <c:pt idx="11">
                  <c:v>9</c:v>
                </c:pt>
                <c:pt idx="12">
                  <c:v>6</c:v>
                </c:pt>
                <c:pt idx="13">
                  <c:v>1</c:v>
                </c:pt>
                <c:pt idx="14">
                  <c:v>3</c:v>
                </c:pt>
                <c:pt idx="15">
                  <c:v>1</c:v>
                </c:pt>
                <c:pt idx="16">
                  <c:v>4</c:v>
                </c:pt>
                <c:pt idx="17">
                  <c:v>4</c:v>
                </c:pt>
                <c:pt idx="18">
                  <c:v>3</c:v>
                </c:pt>
                <c:pt idx="19">
                  <c:v>4</c:v>
                </c:pt>
                <c:pt idx="20">
                  <c:v>13</c:v>
                </c:pt>
                <c:pt idx="21">
                  <c:v>2</c:v>
                </c:pt>
                <c:pt idx="22">
                  <c:v>30</c:v>
                </c:pt>
                <c:pt idx="23">
                  <c:v>7</c:v>
                </c:pt>
                <c:pt idx="24">
                  <c:v>3</c:v>
                </c:pt>
                <c:pt idx="25">
                  <c:v>1</c:v>
                </c:pt>
                <c:pt idx="26">
                  <c:v>21</c:v>
                </c:pt>
                <c:pt idx="27">
                  <c:v>4</c:v>
                </c:pt>
                <c:pt idx="28">
                  <c:v>2</c:v>
                </c:pt>
                <c:pt idx="29">
                  <c:v>4</c:v>
                </c:pt>
                <c:pt idx="30">
                  <c:v>2</c:v>
                </c:pt>
                <c:pt idx="31">
                  <c:v>2</c:v>
                </c:pt>
                <c:pt idx="32">
                  <c:v>1</c:v>
                </c:pt>
                <c:pt idx="33">
                  <c:v>1</c:v>
                </c:pt>
                <c:pt idx="34">
                  <c:v>1</c:v>
                </c:pt>
                <c:pt idx="35">
                  <c:v>1</c:v>
                </c:pt>
                <c:pt idx="36">
                  <c:v>1</c:v>
                </c:pt>
                <c:pt idx="37">
                  <c:v>1</c:v>
                </c:pt>
                <c:pt idx="38">
                  <c:v>1</c:v>
                </c:pt>
                <c:pt idx="39">
                  <c:v>3</c:v>
                </c:pt>
              </c:numCache>
            </c:numRef>
          </c:val>
          <c:extLst>
            <c:ext xmlns:c16="http://schemas.microsoft.com/office/drawing/2014/chart" uri="{C3380CC4-5D6E-409C-BE32-E72D297353CC}">
              <c16:uniqueId val="{00000000-E47C-4B6B-AC7D-293AE7C68FA1}"/>
            </c:ext>
          </c:extLst>
        </c:ser>
        <c:dLbls>
          <c:dLblPos val="inEnd"/>
          <c:showLegendKey val="0"/>
          <c:showVal val="1"/>
          <c:showCatName val="0"/>
          <c:showSerName val="0"/>
          <c:showPercent val="0"/>
          <c:showBubbleSize val="0"/>
        </c:dLbls>
        <c:gapWidth val="100"/>
        <c:overlap val="-24"/>
        <c:axId val="1019994351"/>
        <c:axId val="1019995311"/>
      </c:barChart>
      <c:catAx>
        <c:axId val="101999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1019995311"/>
        <c:crosses val="autoZero"/>
        <c:auto val="1"/>
        <c:lblAlgn val="ctr"/>
        <c:lblOffset val="100"/>
        <c:noMultiLvlLbl val="0"/>
      </c:catAx>
      <c:valAx>
        <c:axId val="101999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101999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a:t>satisfaction de traitement</a:t>
            </a:r>
          </a:p>
          <a:p>
            <a:pPr>
              <a:defRPr/>
            </a:pPr>
            <a:r>
              <a:rPr lang="fr-FR" baseline="0"/>
              <a:t>juin 2026</a:t>
            </a:r>
            <a:endParaRPr lang="fr-FR"/>
          </a:p>
        </c:rich>
      </c:tx>
      <c:layout>
        <c:manualLayout>
          <c:xMode val="edge"/>
          <c:yMode val="edge"/>
          <c:x val="0.25669576033909403"/>
          <c:y val="2.55183413078149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TDB!$B$92</c:f>
              <c:strCache>
                <c:ptCount val="1"/>
                <c:pt idx="0">
                  <c:v>Satisfaction de traitement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TDB!$C$91:$G$91</c:f>
              <c:strCache>
                <c:ptCount val="5"/>
                <c:pt idx="0">
                  <c:v>très insatisfait </c:v>
                </c:pt>
                <c:pt idx="1">
                  <c:v>Plutôt insatisfait</c:v>
                </c:pt>
                <c:pt idx="2">
                  <c:v>insatisfait </c:v>
                </c:pt>
                <c:pt idx="3">
                  <c:v>Satisfait </c:v>
                </c:pt>
                <c:pt idx="4">
                  <c:v>très satisfait</c:v>
                </c:pt>
              </c:strCache>
            </c:strRef>
          </c:cat>
          <c:val>
            <c:numRef>
              <c:f>TDB!$C$92:$G$92</c:f>
              <c:numCache>
                <c:formatCode>General</c:formatCode>
                <c:ptCount val="5"/>
                <c:pt idx="0">
                  <c:v>0</c:v>
                </c:pt>
                <c:pt idx="1">
                  <c:v>0</c:v>
                </c:pt>
                <c:pt idx="2">
                  <c:v>0</c:v>
                </c:pt>
                <c:pt idx="3">
                  <c:v>9</c:v>
                </c:pt>
                <c:pt idx="4">
                  <c:v>37</c:v>
                </c:pt>
              </c:numCache>
            </c:numRef>
          </c:val>
          <c:extLst>
            <c:ext xmlns:c16="http://schemas.microsoft.com/office/drawing/2014/chart" uri="{C3380CC4-5D6E-409C-BE32-E72D297353CC}">
              <c16:uniqueId val="{00000000-3AB8-4EFA-8B39-C0CEFB87F5C7}"/>
            </c:ext>
          </c:extLst>
        </c:ser>
        <c:ser>
          <c:idx val="1"/>
          <c:order val="1"/>
          <c:tx>
            <c:strRef>
              <c:f>TDB!$B$93</c:f>
              <c:strCache>
                <c:ptCount val="1"/>
                <c:pt idx="0">
                  <c:v>Communication des opérateurs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TDB!$C$91:$G$91</c:f>
              <c:strCache>
                <c:ptCount val="5"/>
                <c:pt idx="0">
                  <c:v>très insatisfait </c:v>
                </c:pt>
                <c:pt idx="1">
                  <c:v>Plutôt insatisfait</c:v>
                </c:pt>
                <c:pt idx="2">
                  <c:v>insatisfait </c:v>
                </c:pt>
                <c:pt idx="3">
                  <c:v>Satisfait </c:v>
                </c:pt>
                <c:pt idx="4">
                  <c:v>très satisfait</c:v>
                </c:pt>
              </c:strCache>
            </c:strRef>
          </c:cat>
          <c:val>
            <c:numRef>
              <c:f>TDB!$C$93:$G$93</c:f>
              <c:numCache>
                <c:formatCode>General</c:formatCode>
                <c:ptCount val="5"/>
                <c:pt idx="0">
                  <c:v>0</c:v>
                </c:pt>
                <c:pt idx="1">
                  <c:v>0</c:v>
                </c:pt>
                <c:pt idx="2">
                  <c:v>0</c:v>
                </c:pt>
                <c:pt idx="3">
                  <c:v>8</c:v>
                </c:pt>
                <c:pt idx="4">
                  <c:v>38</c:v>
                </c:pt>
              </c:numCache>
            </c:numRef>
          </c:val>
          <c:extLst>
            <c:ext xmlns:c16="http://schemas.microsoft.com/office/drawing/2014/chart" uri="{C3380CC4-5D6E-409C-BE32-E72D297353CC}">
              <c16:uniqueId val="{00000001-3AB8-4EFA-8B39-C0CEFB87F5C7}"/>
            </c:ext>
          </c:extLst>
        </c:ser>
        <c:ser>
          <c:idx val="2"/>
          <c:order val="2"/>
          <c:tx>
            <c:strRef>
              <c:f>TDB!$B$94</c:f>
              <c:strCache>
                <c:ptCount val="1"/>
                <c:pt idx="0">
                  <c:v>Satisfaction du temps de traitement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TDB!$C$91:$G$91</c:f>
              <c:strCache>
                <c:ptCount val="5"/>
                <c:pt idx="0">
                  <c:v>très insatisfait </c:v>
                </c:pt>
                <c:pt idx="1">
                  <c:v>Plutôt insatisfait</c:v>
                </c:pt>
                <c:pt idx="2">
                  <c:v>insatisfait </c:v>
                </c:pt>
                <c:pt idx="3">
                  <c:v>Satisfait </c:v>
                </c:pt>
                <c:pt idx="4">
                  <c:v>très satisfait</c:v>
                </c:pt>
              </c:strCache>
            </c:strRef>
          </c:cat>
          <c:val>
            <c:numRef>
              <c:f>TDB!$C$94:$G$94</c:f>
              <c:numCache>
                <c:formatCode>General</c:formatCode>
                <c:ptCount val="5"/>
                <c:pt idx="0">
                  <c:v>0</c:v>
                </c:pt>
                <c:pt idx="1">
                  <c:v>1</c:v>
                </c:pt>
                <c:pt idx="2">
                  <c:v>0</c:v>
                </c:pt>
                <c:pt idx="3">
                  <c:v>8</c:v>
                </c:pt>
                <c:pt idx="4">
                  <c:v>37</c:v>
                </c:pt>
              </c:numCache>
            </c:numRef>
          </c:val>
          <c:extLst>
            <c:ext xmlns:c16="http://schemas.microsoft.com/office/drawing/2014/chart" uri="{C3380CC4-5D6E-409C-BE32-E72D297353CC}">
              <c16:uniqueId val="{00000002-3AB8-4EFA-8B39-C0CEFB87F5C7}"/>
            </c:ext>
          </c:extLst>
        </c:ser>
        <c:dLbls>
          <c:showLegendKey val="0"/>
          <c:showVal val="1"/>
          <c:showCatName val="0"/>
          <c:showSerName val="0"/>
          <c:showPercent val="0"/>
          <c:showBubbleSize val="0"/>
        </c:dLbls>
        <c:gapWidth val="150"/>
        <c:shape val="box"/>
        <c:axId val="1220718271"/>
        <c:axId val="1220715391"/>
        <c:axId val="0"/>
      </c:bar3DChart>
      <c:catAx>
        <c:axId val="12207182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220715391"/>
        <c:crosses val="autoZero"/>
        <c:auto val="1"/>
        <c:lblAlgn val="ctr"/>
        <c:lblOffset val="100"/>
        <c:noMultiLvlLbl val="0"/>
      </c:catAx>
      <c:valAx>
        <c:axId val="12207153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220718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TDB!$B$95</c:f>
              <c:strCache>
                <c:ptCount val="1"/>
                <c:pt idx="0">
                  <c:v>taux de satisfaction </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TDB!$C$91:$G$91</c:f>
              <c:strCache>
                <c:ptCount val="5"/>
                <c:pt idx="0">
                  <c:v>très insatisfait </c:v>
                </c:pt>
                <c:pt idx="1">
                  <c:v>Plutôt insatisfait</c:v>
                </c:pt>
                <c:pt idx="2">
                  <c:v>insatisfait </c:v>
                </c:pt>
                <c:pt idx="3">
                  <c:v>Satisfait </c:v>
                </c:pt>
                <c:pt idx="4">
                  <c:v>très satisfait</c:v>
                </c:pt>
              </c:strCache>
            </c:strRef>
          </c:cat>
          <c:val>
            <c:numRef>
              <c:f>TDB!$C$95:$G$95</c:f>
              <c:numCache>
                <c:formatCode>0.00%</c:formatCode>
                <c:ptCount val="5"/>
                <c:pt idx="0">
                  <c:v>0</c:v>
                </c:pt>
                <c:pt idx="1">
                  <c:v>7.246376811594203E-3</c:v>
                </c:pt>
                <c:pt idx="2">
                  <c:v>0</c:v>
                </c:pt>
                <c:pt idx="3">
                  <c:v>0.18115942028985507</c:v>
                </c:pt>
                <c:pt idx="4">
                  <c:v>0.81159420289855078</c:v>
                </c:pt>
              </c:numCache>
            </c:numRef>
          </c:val>
          <c:extLst>
            <c:ext xmlns:c16="http://schemas.microsoft.com/office/drawing/2014/chart" uri="{C3380CC4-5D6E-409C-BE32-E72D297353CC}">
              <c16:uniqueId val="{00000000-E922-41BB-A6D9-679167F4B46C}"/>
            </c:ext>
          </c:extLst>
        </c:ser>
        <c:dLbls>
          <c:showLegendKey val="0"/>
          <c:showVal val="1"/>
          <c:showCatName val="0"/>
          <c:showSerName val="0"/>
          <c:showPercent val="0"/>
          <c:showBubbleSize val="0"/>
        </c:dLbls>
        <c:gapWidth val="65"/>
        <c:shape val="box"/>
        <c:axId val="970550383"/>
        <c:axId val="970550863"/>
        <c:axId val="0"/>
      </c:bar3DChart>
      <c:catAx>
        <c:axId val="970550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970550863"/>
        <c:crosses val="autoZero"/>
        <c:auto val="1"/>
        <c:lblAlgn val="ctr"/>
        <c:lblOffset val="100"/>
        <c:noMultiLvlLbl val="0"/>
      </c:catAx>
      <c:valAx>
        <c:axId val="97055086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97055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1733550</xdr:colOff>
      <xdr:row>0</xdr:row>
      <xdr:rowOff>171450</xdr:rowOff>
    </xdr:from>
    <xdr:to>
      <xdr:col>12</xdr:col>
      <xdr:colOff>533400</xdr:colOff>
      <xdr:row>15</xdr:row>
      <xdr:rowOff>171450</xdr:rowOff>
    </xdr:to>
    <xdr:graphicFrame macro="">
      <xdr:nvGraphicFramePr>
        <xdr:cNvPr id="2" name="Graphique 1">
          <a:extLst>
            <a:ext uri="{FF2B5EF4-FFF2-40B4-BE49-F238E27FC236}">
              <a16:creationId xmlns:a16="http://schemas.microsoft.com/office/drawing/2014/main" id="{CB13C9AC-EF36-4E3E-8A89-CAD77B866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1735455</xdr:colOff>
      <xdr:row>18</xdr:row>
      <xdr:rowOff>28575</xdr:rowOff>
    </xdr:from>
    <xdr:to>
      <xdr:col>10</xdr:col>
      <xdr:colOff>139065</xdr:colOff>
      <xdr:row>35</xdr:row>
      <xdr:rowOff>163830</xdr:rowOff>
    </xdr:to>
    <xdr:graphicFrame macro="">
      <xdr:nvGraphicFramePr>
        <xdr:cNvPr id="3" name="Graphique 2">
          <a:extLst>
            <a:ext uri="{FF2B5EF4-FFF2-40B4-BE49-F238E27FC236}">
              <a16:creationId xmlns:a16="http://schemas.microsoft.com/office/drawing/2014/main" id="{57600D04-42F5-4592-8089-703C81CFE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201930</xdr:colOff>
      <xdr:row>18</xdr:row>
      <xdr:rowOff>11430</xdr:rowOff>
    </xdr:from>
    <xdr:to>
      <xdr:col>15</xdr:col>
      <xdr:colOff>316230</xdr:colOff>
      <xdr:row>31</xdr:row>
      <xdr:rowOff>20955</xdr:rowOff>
    </xdr:to>
    <xdr:graphicFrame macro="">
      <xdr:nvGraphicFramePr>
        <xdr:cNvPr id="4" name="Graphique 3">
          <a:extLst>
            <a:ext uri="{FF2B5EF4-FFF2-40B4-BE49-F238E27FC236}">
              <a16:creationId xmlns:a16="http://schemas.microsoft.com/office/drawing/2014/main" id="{D4269BC6-2DD8-4C37-8C4E-32F86F207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314325</xdr:colOff>
      <xdr:row>18</xdr:row>
      <xdr:rowOff>9525</xdr:rowOff>
    </xdr:from>
    <xdr:to>
      <xdr:col>20</xdr:col>
      <xdr:colOff>485775</xdr:colOff>
      <xdr:row>31</xdr:row>
      <xdr:rowOff>11430</xdr:rowOff>
    </xdr:to>
    <xdr:graphicFrame macro="">
      <xdr:nvGraphicFramePr>
        <xdr:cNvPr id="5" name="Graphique 4">
          <a:extLst>
            <a:ext uri="{FF2B5EF4-FFF2-40B4-BE49-F238E27FC236}">
              <a16:creationId xmlns:a16="http://schemas.microsoft.com/office/drawing/2014/main" id="{30BF24F0-83AB-4C8E-ADD5-0910CE108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523875</xdr:colOff>
      <xdr:row>31</xdr:row>
      <xdr:rowOff>9525</xdr:rowOff>
    </xdr:from>
    <xdr:to>
      <xdr:col>18</xdr:col>
      <xdr:colOff>152399</xdr:colOff>
      <xdr:row>44</xdr:row>
      <xdr:rowOff>49530</xdr:rowOff>
    </xdr:to>
    <xdr:graphicFrame macro="">
      <xdr:nvGraphicFramePr>
        <xdr:cNvPr id="6" name="Graphique 5">
          <a:extLst>
            <a:ext uri="{FF2B5EF4-FFF2-40B4-BE49-F238E27FC236}">
              <a16:creationId xmlns:a16="http://schemas.microsoft.com/office/drawing/2014/main" id="{B17CF69D-76EB-429D-A517-882450C76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46</xdr:row>
      <xdr:rowOff>171450</xdr:rowOff>
    </xdr:from>
    <xdr:to>
      <xdr:col>19</xdr:col>
      <xdr:colOff>205740</xdr:colOff>
      <xdr:row>66</xdr:row>
      <xdr:rowOff>74295</xdr:rowOff>
    </xdr:to>
    <xdr:graphicFrame macro="">
      <xdr:nvGraphicFramePr>
        <xdr:cNvPr id="7" name="Graphique 6">
          <a:extLst>
            <a:ext uri="{FF2B5EF4-FFF2-40B4-BE49-F238E27FC236}">
              <a16:creationId xmlns:a16="http://schemas.microsoft.com/office/drawing/2014/main" id="{5778579A-B556-4F0B-B391-892D8036E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262890</xdr:colOff>
      <xdr:row>90</xdr:row>
      <xdr:rowOff>0</xdr:rowOff>
    </xdr:from>
    <xdr:to>
      <xdr:col>14</xdr:col>
      <xdr:colOff>561975</xdr:colOff>
      <xdr:row>118</xdr:row>
      <xdr:rowOff>28575</xdr:rowOff>
    </xdr:to>
    <xdr:graphicFrame macro="">
      <xdr:nvGraphicFramePr>
        <xdr:cNvPr id="8" name="Graphique 7">
          <a:extLst>
            <a:ext uri="{FF2B5EF4-FFF2-40B4-BE49-F238E27FC236}">
              <a16:creationId xmlns:a16="http://schemas.microsoft.com/office/drawing/2014/main" id="{F928CFF7-6957-469C-ADC6-D55368EA8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81915</xdr:colOff>
      <xdr:row>100</xdr:row>
      <xdr:rowOff>45720</xdr:rowOff>
    </xdr:from>
    <xdr:to>
      <xdr:col>6</xdr:col>
      <xdr:colOff>752475</xdr:colOff>
      <xdr:row>115</xdr:row>
      <xdr:rowOff>45720</xdr:rowOff>
    </xdr:to>
    <xdr:graphicFrame macro="">
      <xdr:nvGraphicFramePr>
        <xdr:cNvPr id="9" name="Graphique 8">
          <a:extLst>
            <a:ext uri="{FF2B5EF4-FFF2-40B4-BE49-F238E27FC236}">
              <a16:creationId xmlns:a16="http://schemas.microsoft.com/office/drawing/2014/main" id="{A2EDEAAB-21AD-4543-90DD-6A014EF1C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5"/>
  <sheetViews>
    <sheetView tabSelected="1" topLeftCell="B1" workbookViewId="0">
      <selection activeCell="B13" sqref="B13"/>
    </sheetView>
  </sheetViews>
  <sheetFormatPr baseColWidth="10" defaultColWidth="8.88671875" defaultRowHeight="14.4" x14ac:dyDescent="0.3"/>
  <cols>
    <col min="2" max="2" width="45.44140625" bestFit="1" customWidth="1"/>
    <col min="3" max="3" width="25.6640625" bestFit="1" customWidth="1"/>
    <col min="4" max="5" width="24.44140625" bestFit="1" customWidth="1"/>
    <col min="7" max="7" width="11.5546875" bestFit="1" customWidth="1"/>
  </cols>
  <sheetData>
    <row r="2" spans="2:3" x14ac:dyDescent="0.3">
      <c r="B2" s="8"/>
      <c r="C2" s="12">
        <v>46174</v>
      </c>
    </row>
    <row r="3" spans="2:3" x14ac:dyDescent="0.3">
      <c r="B3" s="1" t="s">
        <v>0</v>
      </c>
      <c r="C3" s="2">
        <f>COUNTA('tickets ouverts'!A:A)-1</f>
        <v>277</v>
      </c>
    </row>
    <row r="4" spans="2:3" x14ac:dyDescent="0.3">
      <c r="B4" s="1" t="s">
        <v>1</v>
      </c>
      <c r="C4" s="2">
        <v>228</v>
      </c>
    </row>
    <row r="5" spans="2:3" x14ac:dyDescent="0.3">
      <c r="B5" s="1" t="s">
        <v>2</v>
      </c>
      <c r="C5" s="2">
        <f>COUNTA('tickets fermés'!A:A)-1</f>
        <v>308</v>
      </c>
    </row>
    <row r="6" spans="2:3" x14ac:dyDescent="0.3">
      <c r="B6" s="1" t="s">
        <v>3</v>
      </c>
      <c r="C6" s="5">
        <f>AVERAGE('tickets fermés'!R:R)</f>
        <v>3.0297686688311694</v>
      </c>
    </row>
    <row r="19" spans="2:3" x14ac:dyDescent="0.3">
      <c r="C19" s="12">
        <v>46174</v>
      </c>
    </row>
    <row r="20" spans="2:3" x14ac:dyDescent="0.3">
      <c r="B20" s="1" t="s">
        <v>4</v>
      </c>
      <c r="C20" s="2">
        <f>COUNTIF('tickets ouverts'!F:F,"Tunisie/Megrine")</f>
        <v>152</v>
      </c>
    </row>
    <row r="21" spans="2:3" x14ac:dyDescent="0.3">
      <c r="B21" s="1" t="s">
        <v>5</v>
      </c>
      <c r="C21" s="2">
        <f>COUNTIF('tickets ouverts'!F:F,"Tunisie/Kram")</f>
        <v>81</v>
      </c>
    </row>
    <row r="22" spans="2:3" x14ac:dyDescent="0.3">
      <c r="B22" s="1" t="s">
        <v>6</v>
      </c>
      <c r="C22" s="2">
        <f>COUNTIF('tickets ouverts'!F:F,"Tunisie/Sousse")</f>
        <v>44</v>
      </c>
    </row>
    <row r="24" spans="2:3" x14ac:dyDescent="0.3">
      <c r="C24" s="12">
        <v>46174</v>
      </c>
    </row>
    <row r="25" spans="2:3" x14ac:dyDescent="0.3">
      <c r="B25" s="1" t="s">
        <v>7</v>
      </c>
      <c r="C25" s="2">
        <f>COUNTIFS('tickets ouverts'!F:F,"Tunisie/Megrine", 'tickets ouverts'!E:E,"avs")</f>
        <v>32</v>
      </c>
    </row>
    <row r="26" spans="2:3" x14ac:dyDescent="0.3">
      <c r="B26" s="1" t="s">
        <v>8</v>
      </c>
      <c r="C26" s="2">
        <f>COUNTIFS('tickets ouverts'!F:F,"Tunisie/Megrine", 'tickets ouverts'!E:E,"bbs")</f>
        <v>19</v>
      </c>
    </row>
    <row r="27" spans="2:3" x14ac:dyDescent="0.3">
      <c r="B27" s="1" t="s">
        <v>9</v>
      </c>
      <c r="C27" s="9">
        <f>COUNTIFS('tickets ouverts'!F:F,"Tunisie/Megrine", 'tickets ouverts'!E:E,"e&amp;t")</f>
        <v>0</v>
      </c>
    </row>
    <row r="28" spans="2:3" x14ac:dyDescent="0.3">
      <c r="B28" s="1" t="s">
        <v>10</v>
      </c>
      <c r="C28" s="2">
        <f>COUNTIFS('tickets ouverts'!F:F,"Tunisie/Megrine", 'tickets ouverts'!E:E,"supports")</f>
        <v>101</v>
      </c>
    </row>
    <row r="29" spans="2:3" x14ac:dyDescent="0.3">
      <c r="B29" s="1" t="s">
        <v>11</v>
      </c>
      <c r="C29" s="2">
        <f>COUNTIFS('tickets ouverts'!F:F,"Tunisie/Kram", 'tickets ouverts'!E:E,"E&amp;T")</f>
        <v>67</v>
      </c>
    </row>
    <row r="30" spans="2:3" x14ac:dyDescent="0.3">
      <c r="B30" s="1" t="s">
        <v>12</v>
      </c>
      <c r="C30" s="2">
        <f>COUNTIFS('tickets ouverts'!F:F,"Tunisie/Kram", 'tickets ouverts'!E:E,"supports")</f>
        <v>13</v>
      </c>
    </row>
    <row r="31" spans="2:3" x14ac:dyDescent="0.3">
      <c r="B31" s="1" t="s">
        <v>1420</v>
      </c>
      <c r="C31" s="2">
        <f>COUNTIFS('tickets ouverts'!F:F,"Tunisie/Kram", 'tickets ouverts'!E:E,"BBS")</f>
        <v>1</v>
      </c>
    </row>
    <row r="32" spans="2:3" x14ac:dyDescent="0.3">
      <c r="B32" s="1" t="s">
        <v>13</v>
      </c>
      <c r="C32" s="2">
        <f>COUNTIFS('tickets ouverts'!F:F,"Tunisie/Sousse", 'tickets ouverts'!E:E,"E&amp;T")</f>
        <v>33</v>
      </c>
    </row>
    <row r="33" spans="2:3" x14ac:dyDescent="0.3">
      <c r="B33" s="1" t="s">
        <v>14</v>
      </c>
      <c r="C33" s="2">
        <f>COUNTIFS('tickets ouverts'!F:F,"Tunisie/Sousse", 'tickets ouverts'!E:E,"supports")</f>
        <v>11</v>
      </c>
    </row>
    <row r="47" spans="2:3" x14ac:dyDescent="0.3">
      <c r="B47" s="16" t="s">
        <v>15</v>
      </c>
      <c r="C47" s="16"/>
    </row>
    <row r="48" spans="2:3" x14ac:dyDescent="0.3">
      <c r="B48" s="7" t="str" cm="1">
        <f t="array" ref="B48:B87">_xlfn.UNIQUE('tickets ouverts'!I2:I278)</f>
        <v>Souris</v>
      </c>
      <c r="C48" s="4">
        <f>COUNTIF('tickets ouverts'!$I:$I,B48)</f>
        <v>11</v>
      </c>
    </row>
    <row r="49" spans="2:3" x14ac:dyDescent="0.3">
      <c r="B49" s="7" t="str">
        <v>Ligne ADSL / Fibre / Câble</v>
      </c>
      <c r="C49" s="4">
        <f>COUNTIF('tickets ouverts'!$I:$I,B49)</f>
        <v>1</v>
      </c>
    </row>
    <row r="50" spans="2:3" x14ac:dyDescent="0.3">
      <c r="B50" s="7" t="str">
        <v>PC Laptop</v>
      </c>
      <c r="C50" s="4">
        <f>COUNTIF('tickets ouverts'!$I:$I,B50)</f>
        <v>12</v>
      </c>
    </row>
    <row r="51" spans="2:3" x14ac:dyDescent="0.3">
      <c r="B51" s="7" t="str">
        <v>PC accessoires</v>
      </c>
      <c r="C51" s="4">
        <f>COUNTIF('tickets ouverts'!$I:$I,B51)</f>
        <v>31</v>
      </c>
    </row>
    <row r="52" spans="2:3" x14ac:dyDescent="0.3">
      <c r="B52" s="7" t="str">
        <v>Infrastructure Cloud</v>
      </c>
      <c r="C52" s="4">
        <f>COUNTIF('tickets ouverts'!$I:$I,B52)</f>
        <v>3</v>
      </c>
    </row>
    <row r="53" spans="2:3" x14ac:dyDescent="0.3">
      <c r="B53" s="7" t="str">
        <v>Gestion des flux</v>
      </c>
      <c r="C53" s="4">
        <f>COUNTIF('tickets ouverts'!$I:$I,B53)</f>
        <v>40</v>
      </c>
    </row>
    <row r="54" spans="2:3" x14ac:dyDescent="0.3">
      <c r="B54" s="7" t="str">
        <v>ASKit MAJ CMDB</v>
      </c>
      <c r="C54" s="4">
        <f>COUNTIF('tickets ouverts'!$I:$I,B54)</f>
        <v>23</v>
      </c>
    </row>
    <row r="55" spans="2:3" x14ac:dyDescent="0.3">
      <c r="B55" s="7" t="str">
        <v>Hub USB</v>
      </c>
      <c r="C55" s="4">
        <f>COUNTIF('tickets ouverts'!$I:$I,B55)</f>
        <v>5</v>
      </c>
    </row>
    <row r="56" spans="2:3" x14ac:dyDescent="0.3">
      <c r="B56" s="7" t="str">
        <v>Demande d'entrée DNS</v>
      </c>
      <c r="C56" s="4">
        <f>COUNTIF('tickets ouverts'!$I:$I,B56)</f>
        <v>3</v>
      </c>
    </row>
    <row r="57" spans="2:3" x14ac:dyDescent="0.3">
      <c r="B57" s="7" t="str">
        <v>Demande de certificat / Keytab</v>
      </c>
      <c r="C57" s="4">
        <f>COUNTIF('tickets ouverts'!$I:$I,B57)</f>
        <v>11</v>
      </c>
    </row>
    <row r="58" spans="2:3" x14ac:dyDescent="0.3">
      <c r="B58" s="7" t="str">
        <v>Droits administrateur local</v>
      </c>
      <c r="C58" s="4">
        <f>COUNTIF('tickets ouverts'!$I:$I,B58)</f>
        <v>1</v>
      </c>
    </row>
    <row r="59" spans="2:3" x14ac:dyDescent="0.3">
      <c r="B59" s="7" t="str">
        <v>Masterisation d'un poste</v>
      </c>
      <c r="C59" s="4">
        <f>COUNTIF('tickets ouverts'!$I:$I,B59)</f>
        <v>9</v>
      </c>
    </row>
    <row r="60" spans="2:3" x14ac:dyDescent="0.3">
      <c r="B60" s="7" t="str">
        <v>PC Desktop</v>
      </c>
      <c r="C60" s="4">
        <f>COUNTIF('tickets ouverts'!$I:$I,B60)</f>
        <v>6</v>
      </c>
    </row>
    <row r="61" spans="2:3" x14ac:dyDescent="0.3">
      <c r="B61" s="7" t="str">
        <v>Demande d'accès bureautique</v>
      </c>
      <c r="C61" s="4">
        <f>COUNTIF('tickets ouverts'!$I:$I,B61)</f>
        <v>1</v>
      </c>
    </row>
    <row r="62" spans="2:3" x14ac:dyDescent="0.3">
      <c r="B62" s="7" t="str">
        <v>Accès PMAD</v>
      </c>
      <c r="C62" s="4">
        <f>COUNTIF('tickets ouverts'!$I:$I,B62)</f>
        <v>3</v>
      </c>
    </row>
    <row r="63" spans="2:3" x14ac:dyDescent="0.3">
      <c r="B63" s="7" t="str">
        <v>Mémoire</v>
      </c>
      <c r="C63" s="4">
        <f>COUNTIF('tickets ouverts'!$I:$I,B63)</f>
        <v>1</v>
      </c>
    </row>
    <row r="64" spans="2:3" x14ac:dyDescent="0.3">
      <c r="B64" s="7" t="str">
        <v>Accès Distant Sagemcom</v>
      </c>
      <c r="C64" s="4">
        <f>COUNTIF('tickets ouverts'!$I:$I,B64)</f>
        <v>4</v>
      </c>
    </row>
    <row r="65" spans="2:3" x14ac:dyDescent="0.3">
      <c r="B65" s="7" t="str">
        <v>Installation réseau ou téléphone fixe</v>
      </c>
      <c r="C65" s="4">
        <f>COUNTIF('tickets ouverts'!$I:$I,B65)</f>
        <v>4</v>
      </c>
    </row>
    <row r="66" spans="2:3" x14ac:dyDescent="0.3">
      <c r="B66" s="7" t="str">
        <v>Accès à un partage réseau</v>
      </c>
      <c r="C66" s="4">
        <f>COUNTIF('tickets ouverts'!$I:$I,B66)</f>
        <v>3</v>
      </c>
    </row>
    <row r="67" spans="2:3" x14ac:dyDescent="0.3">
      <c r="B67" s="7" t="str">
        <v>Prêt matériel informatique</v>
      </c>
      <c r="C67" s="4">
        <f>COUNTIF('tickets ouverts'!$I:$I,B67)</f>
        <v>4</v>
      </c>
    </row>
    <row r="68" spans="2:3" x14ac:dyDescent="0.3">
      <c r="B68" s="7" t="str">
        <v>Serveur</v>
      </c>
      <c r="C68" s="4">
        <f>COUNTIF('tickets ouverts'!$I:$I,B68)</f>
        <v>13</v>
      </c>
    </row>
    <row r="69" spans="2:3" x14ac:dyDescent="0.3">
      <c r="B69" s="7" t="str">
        <v>Sauvegarde Commvault Edge Monitor</v>
      </c>
      <c r="C69" s="4">
        <f>COUNTIF('tickets ouverts'!$I:$I,B69)</f>
        <v>2</v>
      </c>
    </row>
    <row r="70" spans="2:3" x14ac:dyDescent="0.3">
      <c r="B70" s="7" t="str">
        <v>Groupes AD</v>
      </c>
      <c r="C70" s="4">
        <f>COUNTIF('tickets ouverts'!$I:$I,B70)</f>
        <v>30</v>
      </c>
    </row>
    <row r="71" spans="2:3" x14ac:dyDescent="0.3">
      <c r="B71" s="7" t="str">
        <v>Licence Github Copilot (Code Assist)</v>
      </c>
      <c r="C71" s="4">
        <f>COUNTIF('tickets ouverts'!$I:$I,B71)</f>
        <v>7</v>
      </c>
    </row>
    <row r="72" spans="2:3" x14ac:dyDescent="0.3">
      <c r="B72" s="7" t="str">
        <v>Comptes GITIS</v>
      </c>
      <c r="C72" s="4">
        <f>COUNTIF('tickets ouverts'!$I:$I,B72)</f>
        <v>3</v>
      </c>
    </row>
    <row r="73" spans="2:3" x14ac:dyDescent="0.3">
      <c r="B73" s="7" t="str">
        <v>Licence IA</v>
      </c>
      <c r="C73" s="4">
        <f>COUNTIF('tickets ouverts'!$I:$I,B73)</f>
        <v>1</v>
      </c>
    </row>
    <row r="74" spans="2:3" x14ac:dyDescent="0.3">
      <c r="B74" s="7" t="str">
        <v>Messagerie individuelle</v>
      </c>
      <c r="C74" s="4">
        <f>COUNTIF('tickets ouverts'!$I:$I,B74)</f>
        <v>21</v>
      </c>
    </row>
    <row r="75" spans="2:3" x14ac:dyDescent="0.3">
      <c r="B75" s="7" t="str">
        <v>Demande informatique hors catalogue</v>
      </c>
      <c r="C75" s="4">
        <f>COUNTIF('tickets ouverts'!$I:$I,B75)</f>
        <v>4</v>
      </c>
    </row>
    <row r="76" spans="2:3" x14ac:dyDescent="0.3">
      <c r="B76" s="7" t="str">
        <v>Messagerie - Bal de Services, diffusions</v>
      </c>
      <c r="C76" s="4">
        <f>COUNTIF('tickets ouverts'!$I:$I,B76)</f>
        <v>2</v>
      </c>
    </row>
    <row r="77" spans="2:3" x14ac:dyDescent="0.3">
      <c r="B77" s="7" t="str">
        <v>Configuration Iphone</v>
      </c>
      <c r="C77" s="4">
        <f>COUNTIF('tickets ouverts'!$I:$I,B77)</f>
        <v>4</v>
      </c>
    </row>
    <row r="78" spans="2:3" x14ac:dyDescent="0.3">
      <c r="B78" s="7" t="str">
        <v>Sauvegarde / Restauration</v>
      </c>
      <c r="C78" s="4">
        <f>COUNTIF('tickets ouverts'!$I:$I,B78)</f>
        <v>2</v>
      </c>
    </row>
    <row r="79" spans="2:3" x14ac:dyDescent="0.3">
      <c r="B79" s="7" t="str">
        <v>MS Project</v>
      </c>
      <c r="C79" s="4">
        <f>COUNTIF('tickets ouverts'!$I:$I,B79)</f>
        <v>2</v>
      </c>
    </row>
    <row r="80" spans="2:3" x14ac:dyDescent="0.3">
      <c r="B80" s="7" t="str">
        <v>Adobe application</v>
      </c>
      <c r="C80" s="4">
        <f>COUNTIF('tickets ouverts'!$I:$I,B80)</f>
        <v>1</v>
      </c>
    </row>
    <row r="81" spans="2:7" x14ac:dyDescent="0.3">
      <c r="B81" s="7" t="str">
        <v>Droits Impression\imprimante couleur</v>
      </c>
      <c r="C81" s="4">
        <f>COUNTIF('tickets ouverts'!$I:$I,B81)</f>
        <v>1</v>
      </c>
    </row>
    <row r="82" spans="2:7" x14ac:dyDescent="0.3">
      <c r="B82" s="7" t="str">
        <v>Acces OTP</v>
      </c>
      <c r="C82" s="4">
        <f>COUNTIF('tickets ouverts'!$I:$I,B82)</f>
        <v>1</v>
      </c>
    </row>
    <row r="83" spans="2:7" x14ac:dyDescent="0.3">
      <c r="B83" s="7" t="str">
        <v>Jira Service Management Energy</v>
      </c>
      <c r="C83" s="4">
        <f>COUNTIF('tickets ouverts'!$I:$I,B83)</f>
        <v>1</v>
      </c>
    </row>
    <row r="84" spans="2:7" x14ac:dyDescent="0.3">
      <c r="B84" s="1" t="str">
        <v>Compte de service</v>
      </c>
      <c r="C84" s="4">
        <f>COUNTIF('tickets ouverts'!$I:$I,B84)</f>
        <v>1</v>
      </c>
    </row>
    <row r="85" spans="2:7" x14ac:dyDescent="0.3">
      <c r="B85" s="1" t="str">
        <v>Téléphone mobile SST/KRM</v>
      </c>
      <c r="C85" s="4">
        <f>COUNTIF('tickets ouverts'!$I:$I,B85)</f>
        <v>1</v>
      </c>
    </row>
    <row r="86" spans="2:7" x14ac:dyDescent="0.3">
      <c r="B86" s="1" t="str">
        <v>MS Power BI</v>
      </c>
      <c r="C86" s="4">
        <f>COUNTIF('tickets ouverts'!$I:$I,B86)</f>
        <v>1</v>
      </c>
    </row>
    <row r="87" spans="2:7" x14ac:dyDescent="0.3">
      <c r="B87" s="1" t="str">
        <v>Aftersales</v>
      </c>
      <c r="C87" s="4">
        <f>COUNTIF('tickets ouverts'!$I:$I,B87)</f>
        <v>3</v>
      </c>
    </row>
    <row r="90" spans="2:7" x14ac:dyDescent="0.3">
      <c r="B90" s="14"/>
      <c r="C90" s="15"/>
      <c r="D90" s="15"/>
      <c r="E90" s="15"/>
      <c r="F90" s="15"/>
      <c r="G90" s="15"/>
    </row>
    <row r="91" spans="2:7" x14ac:dyDescent="0.3">
      <c r="B91" s="14"/>
      <c r="C91" s="1" t="s">
        <v>16</v>
      </c>
      <c r="D91" s="1" t="s">
        <v>17</v>
      </c>
      <c r="E91" s="1" t="s">
        <v>18</v>
      </c>
      <c r="F91" s="1" t="s">
        <v>19</v>
      </c>
      <c r="G91" s="1" t="s">
        <v>20</v>
      </c>
    </row>
    <row r="92" spans="2:7" x14ac:dyDescent="0.3">
      <c r="B92" s="1" t="s">
        <v>21</v>
      </c>
      <c r="C92" s="2">
        <f>COUNTIF('Askit -SST KRM enquête'!G:G,1)</f>
        <v>0</v>
      </c>
      <c r="D92" s="2">
        <f>COUNTIF('Askit -SST KRM enquête'!G:G,2)</f>
        <v>0</v>
      </c>
      <c r="E92" s="2">
        <f>COUNTIF('Askit -SST KRM enquête'!G:G,3)</f>
        <v>0</v>
      </c>
      <c r="F92" s="2">
        <f>COUNTIF('Askit -SST KRM enquête'!G:G,4)</f>
        <v>9</v>
      </c>
      <c r="G92" s="2">
        <f>COUNTIF('Askit -SST KRM enquête'!G:G,5)</f>
        <v>37</v>
      </c>
    </row>
    <row r="93" spans="2:7" x14ac:dyDescent="0.3">
      <c r="B93" s="1" t="s">
        <v>22</v>
      </c>
      <c r="C93" s="2">
        <f>COUNTIF('Askit -SST KRM enquête'!H:H,1)</f>
        <v>0</v>
      </c>
      <c r="D93" s="2">
        <f>COUNTIF('Askit -SST KRM enquête'!H:H,2)</f>
        <v>0</v>
      </c>
      <c r="E93" s="2">
        <f>COUNTIF('Askit -SST KRM enquête'!H:H,3)</f>
        <v>0</v>
      </c>
      <c r="F93" s="2">
        <f>COUNTIF('Askit -SST KRM enquête'!H:H,4)</f>
        <v>8</v>
      </c>
      <c r="G93" s="2">
        <f>COUNTIF('Askit -SST KRM enquête'!H:H,5)</f>
        <v>38</v>
      </c>
    </row>
    <row r="94" spans="2:7" x14ac:dyDescent="0.3">
      <c r="B94" s="1" t="s">
        <v>23</v>
      </c>
      <c r="C94" s="2">
        <f>COUNTIF('Askit -SST KRM enquête'!I:I,1)</f>
        <v>0</v>
      </c>
      <c r="D94" s="2">
        <f>COUNTIF('Askit -SST KRM enquête'!I:I,2)</f>
        <v>1</v>
      </c>
      <c r="E94" s="2">
        <f>COUNTIF('Askit -SST KRM enquête'!I:I,3)</f>
        <v>0</v>
      </c>
      <c r="F94" s="2">
        <f>COUNTIF('Askit -SST KRM enquête'!I:I,4)</f>
        <v>8</v>
      </c>
      <c r="G94" s="2">
        <f>COUNTIF('Askit -SST KRM enquête'!I:I,5)</f>
        <v>37</v>
      </c>
    </row>
    <row r="95" spans="2:7" x14ac:dyDescent="0.3">
      <c r="B95" s="1" t="s">
        <v>24</v>
      </c>
      <c r="C95" s="10">
        <f>SUM(C92:C94)/SUM($C$92:$G$94)</f>
        <v>0</v>
      </c>
      <c r="D95" s="10">
        <f>SUM(D92:D94)/SUM($C$92:$G$94)</f>
        <v>7.246376811594203E-3</v>
      </c>
      <c r="E95" s="10">
        <f>SUM(E92:E94)/SUM($C$92:$G$94)</f>
        <v>0</v>
      </c>
      <c r="F95" s="10">
        <f>SUM(F92:F94)/SUM($C$92:$G$94)</f>
        <v>0.18115942028985507</v>
      </c>
      <c r="G95" s="10">
        <f>SUM(G92:G94)/SUM($C$92:$G$94)</f>
        <v>0.81159420289855078</v>
      </c>
    </row>
    <row r="96" spans="2:7" x14ac:dyDescent="0.3">
      <c r="B96" s="14"/>
      <c r="C96" s="15"/>
      <c r="D96" s="15"/>
      <c r="E96" s="15"/>
      <c r="F96" s="15"/>
      <c r="G96" s="15"/>
    </row>
    <row r="98" spans="2:3" x14ac:dyDescent="0.3">
      <c r="B98" s="11" t="s">
        <v>2</v>
      </c>
      <c r="C98" s="2">
        <f>C5</f>
        <v>308</v>
      </c>
    </row>
    <row r="99" spans="2:3" x14ac:dyDescent="0.3">
      <c r="B99" s="11" t="s">
        <v>25</v>
      </c>
      <c r="C99" s="2">
        <f>COUNTA('Askit -SST KRM enquête'!A:A)-1</f>
        <v>46</v>
      </c>
    </row>
    <row r="100" spans="2:3" x14ac:dyDescent="0.3">
      <c r="B100" s="11" t="s">
        <v>26</v>
      </c>
      <c r="C100" s="10">
        <f>C99/C98</f>
        <v>0.14935064935064934</v>
      </c>
    </row>
    <row r="117" spans="2:5" x14ac:dyDescent="0.3">
      <c r="B117" s="8"/>
      <c r="C117" s="20" t="s">
        <v>27</v>
      </c>
      <c r="D117" s="20"/>
      <c r="E117" s="20"/>
    </row>
    <row r="118" spans="2:5" x14ac:dyDescent="0.3">
      <c r="B118" s="8"/>
      <c r="C118" s="11" t="s">
        <v>28</v>
      </c>
      <c r="D118" s="11" t="s">
        <v>29</v>
      </c>
      <c r="E118" s="11" t="s">
        <v>30</v>
      </c>
    </row>
    <row r="119" spans="2:5" ht="29.4" customHeight="1" x14ac:dyDescent="0.3">
      <c r="B119" s="21" t="s">
        <v>21</v>
      </c>
      <c r="C119" s="17" t="e" cm="1" vm="1">
        <f t="array" ref="C119">_xlfn.UNIQUE(_xlfn._xlws.FILTER('Askit -SST KRM enquête'!F:F,'Askit -SST KRM enquête'!G:G=1))</f>
        <v>#VALUE!</v>
      </c>
      <c r="D119" s="17" t="e" cm="1" vm="1">
        <f t="array" ref="D119">_xlfn.UNIQUE(_xlfn._xlws.FILTER('Askit -SST KRM enquête'!F:F,'Askit -SST KRM enquête'!G:G=2))</f>
        <v>#VALUE!</v>
      </c>
      <c r="E119" s="31" t="e" cm="1" vm="1">
        <f t="array" ref="E119">_xlfn.UNIQUE(_xlfn._xlws.FILTER('Askit -SST KRM enquête'!F:F,'Askit -SST KRM enquête'!G:G=3))</f>
        <v>#VALUE!</v>
      </c>
    </row>
    <row r="120" spans="2:5" ht="28.95" customHeight="1" x14ac:dyDescent="0.3">
      <c r="B120" s="21"/>
      <c r="C120" s="18"/>
      <c r="D120" s="18"/>
      <c r="E120" s="32"/>
    </row>
    <row r="121" spans="2:5" x14ac:dyDescent="0.3">
      <c r="B121" s="22" t="s">
        <v>31</v>
      </c>
      <c r="C121" s="25" t="e" cm="1" vm="1">
        <f t="array" ref="C121">_xlfn.UNIQUE(_xlfn._xlws.FILTER('Askit -SST KRM enquête'!F:F,'Askit -SST KRM enquête'!H:H=1))</f>
        <v>#VALUE!</v>
      </c>
      <c r="D121" s="25" t="e" cm="1" vm="1">
        <f t="array" ref="D121">_xlfn.UNIQUE(_xlfn._xlws.FILTER('Askit -SST KRM enquête'!F:F,'Askit -SST KRM enquête'!H:H=2))</f>
        <v>#VALUE!</v>
      </c>
      <c r="E121" s="28" t="e" cm="1" vm="1">
        <f t="array" ref="E121">_xlfn.UNIQUE(_xlfn._xlws.FILTER('Askit -SST KRM enquête'!F:F,'Askit -SST KRM enquête'!H:H=3))</f>
        <v>#VALUE!</v>
      </c>
    </row>
    <row r="122" spans="2:5" x14ac:dyDescent="0.3">
      <c r="B122" s="22"/>
      <c r="C122" s="26"/>
      <c r="D122" s="26"/>
      <c r="E122" s="29"/>
    </row>
    <row r="123" spans="2:5" x14ac:dyDescent="0.3">
      <c r="B123" s="13"/>
      <c r="C123" s="27"/>
      <c r="D123" s="27"/>
      <c r="E123" s="30"/>
    </row>
    <row r="124" spans="2:5" ht="63.75" customHeight="1" x14ac:dyDescent="0.3">
      <c r="B124" s="19" t="s">
        <v>32</v>
      </c>
      <c r="C124" s="23" t="e" cm="1" vm="1">
        <f t="array" ref="C124">_xlfn.UNIQUE(_xlfn._xlws.FILTER('Askit -SST KRM enquête'!F:F,'Askit -SST KRM enquête'!I:I=1))</f>
        <v>#VALUE!</v>
      </c>
      <c r="D124" s="23" t="str" cm="1">
        <f t="array" ref="D124">_xlfn.UNIQUE(_xlfn._xlws.FILTER('Askit -SST KRM enquête'!F:F,'Askit -SST KRM enquête'!I:I=2))</f>
        <v>PC Laptop</v>
      </c>
      <c r="E124" s="23" t="e" cm="1" vm="1">
        <f t="array" ref="E124">_xlfn.UNIQUE(_xlfn._xlws.FILTER('Askit -SST KRM enquête'!F:F,'Askit -SST KRM enquête'!I:I=3))</f>
        <v>#VALUE!</v>
      </c>
    </row>
    <row r="125" spans="2:5" x14ac:dyDescent="0.3">
      <c r="B125" s="19"/>
      <c r="C125" s="24"/>
      <c r="D125" s="24"/>
      <c r="E125" s="24"/>
    </row>
  </sheetData>
  <mergeCells count="14">
    <mergeCell ref="B47:C47"/>
    <mergeCell ref="C119:C120"/>
    <mergeCell ref="B124:B125"/>
    <mergeCell ref="C117:E117"/>
    <mergeCell ref="B119:B120"/>
    <mergeCell ref="B121:B122"/>
    <mergeCell ref="D124:D125"/>
    <mergeCell ref="D119:D120"/>
    <mergeCell ref="D121:D123"/>
    <mergeCell ref="C121:C123"/>
    <mergeCell ref="C124:C125"/>
    <mergeCell ref="E124:E125"/>
    <mergeCell ref="E121:E123"/>
    <mergeCell ref="E119:E1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9688-7403-4585-89D0-B6674706EA62}">
  <dimension ref="A1:V278"/>
  <sheetViews>
    <sheetView topLeftCell="A148" workbookViewId="0">
      <selection activeCell="I162" sqref="I162"/>
    </sheetView>
  </sheetViews>
  <sheetFormatPr baseColWidth="10" defaultRowHeight="18" customHeight="1" x14ac:dyDescent="0.3"/>
  <cols>
    <col min="1" max="1" width="12.77734375" bestFit="1" customWidth="1"/>
    <col min="2" max="2" width="27.33203125" bestFit="1" customWidth="1"/>
    <col min="3" max="3" width="18" bestFit="1" customWidth="1"/>
    <col min="4" max="4" width="20.6640625" bestFit="1" customWidth="1"/>
    <col min="5" max="5" width="16.77734375" bestFit="1" customWidth="1"/>
    <col min="6" max="6" width="27.6640625" bestFit="1" customWidth="1"/>
    <col min="7" max="7" width="16.21875" bestFit="1" customWidth="1"/>
    <col min="8" max="8" width="21.5546875" bestFit="1" customWidth="1"/>
    <col min="9" max="9" width="35.21875" bestFit="1" customWidth="1"/>
    <col min="10" max="10" width="11.88671875" bestFit="1" customWidth="1"/>
    <col min="11" max="11" width="255.77734375" bestFit="1" customWidth="1"/>
    <col min="12" max="12" width="29.6640625" bestFit="1" customWidth="1"/>
    <col min="13" max="13" width="29.5546875" bestFit="1" customWidth="1"/>
    <col min="14" max="14" width="26" bestFit="1" customWidth="1"/>
    <col min="15" max="15" width="19.44140625" bestFit="1" customWidth="1"/>
    <col min="16" max="16" width="27.6640625" bestFit="1" customWidth="1"/>
    <col min="17" max="17" width="26.6640625" bestFit="1" customWidth="1"/>
    <col min="18" max="18" width="26" bestFit="1" customWidth="1"/>
    <col min="19" max="19" width="20.6640625" bestFit="1" customWidth="1"/>
    <col min="20" max="20" width="27.21875" bestFit="1" customWidth="1"/>
    <col min="21" max="21" width="35" bestFit="1" customWidth="1"/>
    <col min="22" max="22" width="32.6640625" bestFit="1" customWidth="1"/>
  </cols>
  <sheetData>
    <row r="1" spans="1:22" ht="18" customHeight="1" x14ac:dyDescent="0.3">
      <c r="A1" s="1" t="s">
        <v>33</v>
      </c>
      <c r="B1" s="1" t="s">
        <v>34</v>
      </c>
      <c r="C1" s="1" t="s">
        <v>35</v>
      </c>
      <c r="D1" s="7" t="s">
        <v>36</v>
      </c>
      <c r="E1" s="7" t="s">
        <v>37</v>
      </c>
      <c r="F1" s="1" t="s">
        <v>38</v>
      </c>
      <c r="G1" s="1" t="s">
        <v>39</v>
      </c>
      <c r="H1" s="1" t="s">
        <v>40</v>
      </c>
      <c r="I1" s="1" t="s">
        <v>41</v>
      </c>
      <c r="J1" s="1" t="s">
        <v>42</v>
      </c>
      <c r="K1" s="1" t="s">
        <v>43</v>
      </c>
      <c r="L1" s="1" t="s">
        <v>44</v>
      </c>
      <c r="M1" s="1" t="s">
        <v>45</v>
      </c>
      <c r="N1" s="1" t="s">
        <v>46</v>
      </c>
      <c r="O1" s="1" t="s">
        <v>47</v>
      </c>
      <c r="P1" s="1" t="s">
        <v>48</v>
      </c>
      <c r="Q1" s="1" t="s">
        <v>49</v>
      </c>
      <c r="R1" s="1" t="s">
        <v>46</v>
      </c>
      <c r="S1" s="1" t="s">
        <v>50</v>
      </c>
      <c r="T1" s="1" t="s">
        <v>51</v>
      </c>
      <c r="U1" s="1" t="s">
        <v>52</v>
      </c>
      <c r="V1" s="1" t="s">
        <v>53</v>
      </c>
    </row>
    <row r="2" spans="1:22" ht="18" customHeight="1" x14ac:dyDescent="0.3">
      <c r="A2" s="2" t="s">
        <v>466</v>
      </c>
      <c r="B2" s="2" t="s">
        <v>467</v>
      </c>
      <c r="C2" s="2" t="s">
        <v>468</v>
      </c>
      <c r="D2" s="2" t="s">
        <v>1318</v>
      </c>
      <c r="E2" s="2" t="s">
        <v>72</v>
      </c>
      <c r="F2" s="2" t="s">
        <v>55</v>
      </c>
      <c r="G2" s="3">
        <v>46174.380833333336</v>
      </c>
      <c r="H2" s="3">
        <v>46185.442650462966</v>
      </c>
      <c r="I2" s="2" t="s">
        <v>123</v>
      </c>
      <c r="J2" s="2">
        <v>3</v>
      </c>
      <c r="K2" s="2" t="s">
        <v>124</v>
      </c>
      <c r="L2" s="4" t="s">
        <v>125</v>
      </c>
      <c r="M2" s="2"/>
      <c r="N2" s="2" t="s">
        <v>81</v>
      </c>
      <c r="O2" s="2"/>
      <c r="P2" s="2" t="s">
        <v>78</v>
      </c>
      <c r="Q2" s="2" t="s">
        <v>94</v>
      </c>
      <c r="R2" s="2" t="s">
        <v>81</v>
      </c>
      <c r="S2" s="2" t="s">
        <v>60</v>
      </c>
      <c r="T2" s="5">
        <v>4</v>
      </c>
      <c r="U2" s="2" t="s">
        <v>61</v>
      </c>
      <c r="V2" s="2" t="s">
        <v>62</v>
      </c>
    </row>
    <row r="3" spans="1:22" ht="18" customHeight="1" x14ac:dyDescent="0.3">
      <c r="A3" s="2" t="s">
        <v>469</v>
      </c>
      <c r="B3" s="2" t="s">
        <v>470</v>
      </c>
      <c r="C3" s="2" t="s">
        <v>471</v>
      </c>
      <c r="D3" s="2" t="s">
        <v>1319</v>
      </c>
      <c r="E3" s="2" t="s">
        <v>66</v>
      </c>
      <c r="F3" s="2" t="s">
        <v>76</v>
      </c>
      <c r="G3" s="3">
        <v>46174.436238425929</v>
      </c>
      <c r="H3" s="3">
        <v>46188.688194444447</v>
      </c>
      <c r="I3" s="2" t="s">
        <v>123</v>
      </c>
      <c r="J3" s="2">
        <v>2</v>
      </c>
      <c r="K3" s="2" t="s">
        <v>131</v>
      </c>
      <c r="L3" s="4" t="s">
        <v>158</v>
      </c>
      <c r="M3" s="2"/>
      <c r="N3" s="2" t="s">
        <v>81</v>
      </c>
      <c r="O3" s="2"/>
      <c r="P3" s="2" t="s">
        <v>81</v>
      </c>
      <c r="Q3" s="2" t="s">
        <v>89</v>
      </c>
      <c r="R3" s="2" t="s">
        <v>81</v>
      </c>
      <c r="S3" s="2" t="s">
        <v>60</v>
      </c>
      <c r="T3" s="5">
        <v>4.5222222222222221</v>
      </c>
      <c r="U3" s="2" t="s">
        <v>61</v>
      </c>
      <c r="V3" s="2" t="s">
        <v>62</v>
      </c>
    </row>
    <row r="4" spans="1:22" ht="18" customHeight="1" x14ac:dyDescent="0.3">
      <c r="A4" s="2" t="s">
        <v>472</v>
      </c>
      <c r="B4" s="2" t="s">
        <v>473</v>
      </c>
      <c r="C4" s="2" t="s">
        <v>474</v>
      </c>
      <c r="D4" s="2" t="s">
        <v>1319</v>
      </c>
      <c r="E4" s="2" t="s">
        <v>66</v>
      </c>
      <c r="F4" s="2" t="s">
        <v>76</v>
      </c>
      <c r="G4" s="3">
        <v>46174.443564814814</v>
      </c>
      <c r="H4" s="2"/>
      <c r="I4" s="2" t="s">
        <v>212</v>
      </c>
      <c r="J4" s="2">
        <v>3</v>
      </c>
      <c r="K4" s="2" t="s">
        <v>475</v>
      </c>
      <c r="L4" s="2"/>
      <c r="M4" s="2"/>
      <c r="N4" s="2" t="s">
        <v>102</v>
      </c>
      <c r="O4" s="2" t="s">
        <v>110</v>
      </c>
      <c r="P4" s="2"/>
      <c r="Q4" s="2"/>
      <c r="R4" s="2" t="s">
        <v>102</v>
      </c>
      <c r="S4" s="2" t="s">
        <v>92</v>
      </c>
      <c r="T4" s="6">
        <v>0</v>
      </c>
      <c r="U4" s="2" t="s">
        <v>127</v>
      </c>
      <c r="V4" s="2" t="s">
        <v>62</v>
      </c>
    </row>
    <row r="5" spans="1:22" ht="18" customHeight="1" x14ac:dyDescent="0.3">
      <c r="A5" s="2" t="s">
        <v>476</v>
      </c>
      <c r="B5" s="2" t="s">
        <v>477</v>
      </c>
      <c r="C5" s="2" t="s">
        <v>478</v>
      </c>
      <c r="D5" s="2" t="s">
        <v>1319</v>
      </c>
      <c r="E5" s="2" t="s">
        <v>66</v>
      </c>
      <c r="F5" s="2" t="s">
        <v>67</v>
      </c>
      <c r="G5" s="3">
        <v>46174.443611111114</v>
      </c>
      <c r="H5" s="3">
        <v>46175.371840277781</v>
      </c>
      <c r="I5" s="2" t="s">
        <v>88</v>
      </c>
      <c r="J5" s="2">
        <v>2</v>
      </c>
      <c r="K5" s="2" t="s">
        <v>479</v>
      </c>
      <c r="L5" s="4" t="s">
        <v>480</v>
      </c>
      <c r="M5" s="2"/>
      <c r="N5" s="2" t="s">
        <v>78</v>
      </c>
      <c r="O5" s="2"/>
      <c r="P5" s="2" t="s">
        <v>79</v>
      </c>
      <c r="Q5" s="2" t="s">
        <v>80</v>
      </c>
      <c r="R5" s="2" t="s">
        <v>78</v>
      </c>
      <c r="S5" s="2" t="s">
        <v>60</v>
      </c>
      <c r="T5" s="6">
        <v>0.3659722222222222</v>
      </c>
      <c r="U5" s="2" t="s">
        <v>61</v>
      </c>
      <c r="V5" s="2" t="s">
        <v>62</v>
      </c>
    </row>
    <row r="6" spans="1:22" ht="18" customHeight="1" x14ac:dyDescent="0.3">
      <c r="A6" s="2" t="s">
        <v>481</v>
      </c>
      <c r="B6" s="2" t="s">
        <v>482</v>
      </c>
      <c r="C6" s="2" t="s">
        <v>483</v>
      </c>
      <c r="D6" s="2" t="s">
        <v>1320</v>
      </c>
      <c r="E6" s="2" t="s">
        <v>75</v>
      </c>
      <c r="F6" s="2" t="s">
        <v>55</v>
      </c>
      <c r="G6" s="3">
        <v>46174.461215277777</v>
      </c>
      <c r="H6" s="3">
        <v>46185.365185185183</v>
      </c>
      <c r="I6" s="2" t="s">
        <v>77</v>
      </c>
      <c r="J6" s="2">
        <v>2</v>
      </c>
      <c r="K6" s="2" t="s">
        <v>484</v>
      </c>
      <c r="L6" s="4" t="s">
        <v>485</v>
      </c>
      <c r="M6" s="2"/>
      <c r="N6" s="2" t="s">
        <v>78</v>
      </c>
      <c r="O6" s="2"/>
      <c r="P6" s="2" t="s">
        <v>78</v>
      </c>
      <c r="Q6" s="2" t="s">
        <v>94</v>
      </c>
      <c r="R6" s="2" t="s">
        <v>78</v>
      </c>
      <c r="S6" s="2" t="s">
        <v>60</v>
      </c>
      <c r="T6" s="5">
        <v>3.8416666666666668</v>
      </c>
      <c r="U6" s="2" t="s">
        <v>61</v>
      </c>
      <c r="V6" s="2" t="s">
        <v>62</v>
      </c>
    </row>
    <row r="7" spans="1:22" ht="18" customHeight="1" x14ac:dyDescent="0.3">
      <c r="A7" s="2" t="s">
        <v>486</v>
      </c>
      <c r="B7" s="2" t="s">
        <v>68</v>
      </c>
      <c r="C7" s="2" t="s">
        <v>69</v>
      </c>
      <c r="D7" s="2" t="s">
        <v>1321</v>
      </c>
      <c r="E7" s="2" t="s">
        <v>54</v>
      </c>
      <c r="F7" s="2" t="s">
        <v>55</v>
      </c>
      <c r="G7" s="3">
        <v>46174.461539351854</v>
      </c>
      <c r="H7" s="3">
        <v>46185.326238425929</v>
      </c>
      <c r="I7" s="2" t="s">
        <v>487</v>
      </c>
      <c r="J7" s="2">
        <v>3</v>
      </c>
      <c r="K7" s="2" t="s">
        <v>488</v>
      </c>
      <c r="L7" s="4" t="s">
        <v>489</v>
      </c>
      <c r="M7" s="2"/>
      <c r="N7" s="2" t="s">
        <v>71</v>
      </c>
      <c r="O7" s="2"/>
      <c r="P7" s="2" t="s">
        <v>71</v>
      </c>
      <c r="Q7" s="2" t="s">
        <v>153</v>
      </c>
      <c r="R7" s="2" t="s">
        <v>71</v>
      </c>
      <c r="S7" s="2" t="s">
        <v>60</v>
      </c>
      <c r="T7" s="5">
        <v>3.8097222222222222</v>
      </c>
      <c r="U7" s="2" t="s">
        <v>61</v>
      </c>
      <c r="V7" s="2" t="s">
        <v>62</v>
      </c>
    </row>
    <row r="8" spans="1:22" ht="18" customHeight="1" x14ac:dyDescent="0.3">
      <c r="A8" s="2" t="s">
        <v>490</v>
      </c>
      <c r="B8" s="2" t="s">
        <v>491</v>
      </c>
      <c r="C8" s="2" t="s">
        <v>492</v>
      </c>
      <c r="D8" s="2" t="s">
        <v>1319</v>
      </c>
      <c r="E8" s="2" t="s">
        <v>66</v>
      </c>
      <c r="F8" s="2" t="s">
        <v>67</v>
      </c>
      <c r="G8" s="3">
        <v>46174.462395833332</v>
      </c>
      <c r="H8" s="3">
        <v>46181.397256944445</v>
      </c>
      <c r="I8" s="2" t="s">
        <v>97</v>
      </c>
      <c r="J8" s="2">
        <v>2</v>
      </c>
      <c r="K8" s="2" t="s">
        <v>493</v>
      </c>
      <c r="L8" s="4" t="s">
        <v>494</v>
      </c>
      <c r="M8" s="2"/>
      <c r="N8" s="2" t="s">
        <v>105</v>
      </c>
      <c r="O8" s="2"/>
      <c r="P8" s="2" t="s">
        <v>98</v>
      </c>
      <c r="Q8" s="2" t="s">
        <v>106</v>
      </c>
      <c r="R8" s="2" t="s">
        <v>105</v>
      </c>
      <c r="S8" s="2" t="s">
        <v>60</v>
      </c>
      <c r="T8" s="5">
        <v>2.1229166666666668</v>
      </c>
      <c r="U8" s="2" t="s">
        <v>61</v>
      </c>
      <c r="V8" s="2" t="s">
        <v>62</v>
      </c>
    </row>
    <row r="9" spans="1:22" ht="18" customHeight="1" x14ac:dyDescent="0.3">
      <c r="A9" s="2" t="s">
        <v>495</v>
      </c>
      <c r="B9" s="2" t="s">
        <v>496</v>
      </c>
      <c r="C9" s="2" t="s">
        <v>497</v>
      </c>
      <c r="D9" s="2" t="s">
        <v>1149</v>
      </c>
      <c r="E9" s="2" t="s">
        <v>54</v>
      </c>
      <c r="F9" s="2" t="s">
        <v>55</v>
      </c>
      <c r="G9" s="3">
        <v>46174.480173611111</v>
      </c>
      <c r="H9" s="3">
        <v>46182.699328703704</v>
      </c>
      <c r="I9" s="2" t="s">
        <v>123</v>
      </c>
      <c r="J9" s="2">
        <v>3</v>
      </c>
      <c r="K9" s="2" t="s">
        <v>498</v>
      </c>
      <c r="L9" s="4" t="s">
        <v>499</v>
      </c>
      <c r="M9" s="2"/>
      <c r="N9" s="2" t="s">
        <v>78</v>
      </c>
      <c r="O9" s="2"/>
      <c r="P9" s="2" t="s">
        <v>78</v>
      </c>
      <c r="Q9" s="2" t="s">
        <v>94</v>
      </c>
      <c r="R9" s="2" t="s">
        <v>78</v>
      </c>
      <c r="S9" s="2" t="s">
        <v>60</v>
      </c>
      <c r="T9" s="5">
        <v>2.8444444444444446</v>
      </c>
      <c r="U9" s="2" t="s">
        <v>61</v>
      </c>
      <c r="V9" s="2" t="s">
        <v>62</v>
      </c>
    </row>
    <row r="10" spans="1:22" ht="18" customHeight="1" x14ac:dyDescent="0.3">
      <c r="A10" s="2" t="s">
        <v>500</v>
      </c>
      <c r="B10" s="2" t="s">
        <v>167</v>
      </c>
      <c r="C10" s="2" t="s">
        <v>168</v>
      </c>
      <c r="D10" s="2" t="s">
        <v>1321</v>
      </c>
      <c r="E10" s="2" t="s">
        <v>54</v>
      </c>
      <c r="F10" s="2" t="s">
        <v>55</v>
      </c>
      <c r="G10" s="3">
        <v>46174.59170138889</v>
      </c>
      <c r="H10" s="3">
        <v>46174.84648148148</v>
      </c>
      <c r="I10" s="2" t="s">
        <v>275</v>
      </c>
      <c r="J10" s="2">
        <v>3</v>
      </c>
      <c r="K10" s="4" t="s">
        <v>501</v>
      </c>
      <c r="L10" s="2"/>
      <c r="M10" s="2"/>
      <c r="N10" s="2" t="s">
        <v>126</v>
      </c>
      <c r="O10" s="2" t="s">
        <v>126</v>
      </c>
      <c r="P10" s="2" t="s">
        <v>126</v>
      </c>
      <c r="Q10" s="2" t="s">
        <v>225</v>
      </c>
      <c r="R10" s="2" t="s">
        <v>126</v>
      </c>
      <c r="S10" s="2" t="s">
        <v>60</v>
      </c>
      <c r="T10" s="6">
        <v>0</v>
      </c>
      <c r="U10" s="2" t="s">
        <v>61</v>
      </c>
      <c r="V10" s="2" t="s">
        <v>276</v>
      </c>
    </row>
    <row r="11" spans="1:22" ht="18" customHeight="1" x14ac:dyDescent="0.3">
      <c r="A11" s="2" t="s">
        <v>502</v>
      </c>
      <c r="B11" s="2" t="s">
        <v>503</v>
      </c>
      <c r="C11" s="2" t="s">
        <v>504</v>
      </c>
      <c r="D11" s="2" t="s">
        <v>1319</v>
      </c>
      <c r="E11" s="2" t="s">
        <v>66</v>
      </c>
      <c r="F11" s="2" t="s">
        <v>76</v>
      </c>
      <c r="G11" s="3">
        <v>46174.600960648146</v>
      </c>
      <c r="H11" s="3">
        <v>46175.445613425924</v>
      </c>
      <c r="I11" s="2" t="s">
        <v>121</v>
      </c>
      <c r="J11" s="2">
        <v>2</v>
      </c>
      <c r="K11" s="2" t="s">
        <v>140</v>
      </c>
      <c r="L11" s="4" t="s">
        <v>505</v>
      </c>
      <c r="M11" s="2"/>
      <c r="N11" s="2" t="s">
        <v>81</v>
      </c>
      <c r="O11" s="2"/>
      <c r="P11" s="2" t="s">
        <v>81</v>
      </c>
      <c r="Q11" s="2" t="s">
        <v>90</v>
      </c>
      <c r="R11" s="2" t="s">
        <v>81</v>
      </c>
      <c r="S11" s="2" t="s">
        <v>60</v>
      </c>
      <c r="T11" s="6">
        <v>0.28263888888888888</v>
      </c>
      <c r="U11" s="2" t="s">
        <v>61</v>
      </c>
      <c r="V11" s="2" t="s">
        <v>62</v>
      </c>
    </row>
    <row r="12" spans="1:22" ht="18" customHeight="1" x14ac:dyDescent="0.3">
      <c r="A12" s="2" t="s">
        <v>506</v>
      </c>
      <c r="B12" s="2" t="s">
        <v>507</v>
      </c>
      <c r="C12" s="2" t="s">
        <v>508</v>
      </c>
      <c r="D12" s="2" t="s">
        <v>1319</v>
      </c>
      <c r="E12" s="2" t="s">
        <v>66</v>
      </c>
      <c r="F12" s="2" t="s">
        <v>76</v>
      </c>
      <c r="G12" s="3">
        <v>46174.616840277777</v>
      </c>
      <c r="H12" s="3">
        <v>46175.445335648146</v>
      </c>
      <c r="I12" s="2" t="s">
        <v>121</v>
      </c>
      <c r="J12" s="2">
        <v>2</v>
      </c>
      <c r="K12" s="2" t="s">
        <v>122</v>
      </c>
      <c r="L12" s="4" t="s">
        <v>505</v>
      </c>
      <c r="M12" s="2"/>
      <c r="N12" s="2" t="s">
        <v>81</v>
      </c>
      <c r="O12" s="2"/>
      <c r="P12" s="2" t="s">
        <v>81</v>
      </c>
      <c r="Q12" s="2" t="s">
        <v>90</v>
      </c>
      <c r="R12" s="2" t="s">
        <v>81</v>
      </c>
      <c r="S12" s="2" t="s">
        <v>60</v>
      </c>
      <c r="T12" s="6">
        <v>0.26666666666666666</v>
      </c>
      <c r="U12" s="2" t="s">
        <v>61</v>
      </c>
      <c r="V12" s="2" t="s">
        <v>62</v>
      </c>
    </row>
    <row r="13" spans="1:22" ht="18" customHeight="1" x14ac:dyDescent="0.3">
      <c r="A13" s="2" t="s">
        <v>509</v>
      </c>
      <c r="B13" s="2" t="s">
        <v>262</v>
      </c>
      <c r="C13" s="2" t="s">
        <v>263</v>
      </c>
      <c r="D13" s="2" t="s">
        <v>1321</v>
      </c>
      <c r="E13" s="2" t="s">
        <v>54</v>
      </c>
      <c r="F13" s="2" t="s">
        <v>55</v>
      </c>
      <c r="G13" s="3">
        <v>46174.633773148147</v>
      </c>
      <c r="H13" s="3">
        <v>46176.500416666669</v>
      </c>
      <c r="I13" s="2" t="s">
        <v>218</v>
      </c>
      <c r="J13" s="2">
        <v>3</v>
      </c>
      <c r="K13" s="2" t="s">
        <v>510</v>
      </c>
      <c r="L13" s="2"/>
      <c r="M13" s="2"/>
      <c r="N13" s="2" t="s">
        <v>71</v>
      </c>
      <c r="O13" s="2"/>
      <c r="P13" s="2" t="s">
        <v>71</v>
      </c>
      <c r="Q13" s="2" t="s">
        <v>104</v>
      </c>
      <c r="R13" s="2" t="s">
        <v>71</v>
      </c>
      <c r="S13" s="2" t="s">
        <v>60</v>
      </c>
      <c r="T13" s="6">
        <v>0.7416666666666667</v>
      </c>
      <c r="U13" s="2" t="s">
        <v>61</v>
      </c>
      <c r="V13" s="2" t="s">
        <v>62</v>
      </c>
    </row>
    <row r="14" spans="1:22" ht="18" customHeight="1" x14ac:dyDescent="0.3">
      <c r="A14" s="2" t="s">
        <v>511</v>
      </c>
      <c r="B14" s="2" t="s">
        <v>262</v>
      </c>
      <c r="C14" s="2" t="s">
        <v>263</v>
      </c>
      <c r="D14" s="2" t="s">
        <v>1321</v>
      </c>
      <c r="E14" s="2" t="s">
        <v>54</v>
      </c>
      <c r="F14" s="2" t="s">
        <v>55</v>
      </c>
      <c r="G14" s="3">
        <v>46174.635671296295</v>
      </c>
      <c r="H14" s="3">
        <v>46176.496782407405</v>
      </c>
      <c r="I14" s="2" t="s">
        <v>70</v>
      </c>
      <c r="J14" s="2">
        <v>3</v>
      </c>
      <c r="K14" s="2" t="s">
        <v>512</v>
      </c>
      <c r="L14" s="2"/>
      <c r="M14" s="2"/>
      <c r="N14" s="2" t="s">
        <v>71</v>
      </c>
      <c r="O14" s="2"/>
      <c r="P14" s="2" t="s">
        <v>71</v>
      </c>
      <c r="Q14" s="2" t="s">
        <v>104</v>
      </c>
      <c r="R14" s="2" t="s">
        <v>71</v>
      </c>
      <c r="S14" s="2" t="s">
        <v>60</v>
      </c>
      <c r="T14" s="6">
        <v>0.73611111111111116</v>
      </c>
      <c r="U14" s="2" t="s">
        <v>61</v>
      </c>
      <c r="V14" s="2" t="s">
        <v>62</v>
      </c>
    </row>
    <row r="15" spans="1:22" ht="18" customHeight="1" x14ac:dyDescent="0.3">
      <c r="A15" s="2" t="s">
        <v>513</v>
      </c>
      <c r="B15" s="2" t="s">
        <v>195</v>
      </c>
      <c r="C15" s="2" t="s">
        <v>236</v>
      </c>
      <c r="D15" s="2" t="s">
        <v>1319</v>
      </c>
      <c r="E15" s="2" t="s">
        <v>66</v>
      </c>
      <c r="F15" s="2" t="s">
        <v>76</v>
      </c>
      <c r="G15" s="3">
        <v>46174.644108796296</v>
      </c>
      <c r="H15" s="3">
        <v>46175.665648148148</v>
      </c>
      <c r="I15" s="2" t="s">
        <v>123</v>
      </c>
      <c r="J15" s="2">
        <v>2</v>
      </c>
      <c r="K15" s="2" t="s">
        <v>133</v>
      </c>
      <c r="L15" s="4" t="s">
        <v>514</v>
      </c>
      <c r="M15" s="2"/>
      <c r="N15" s="2" t="s">
        <v>81</v>
      </c>
      <c r="O15" s="2"/>
      <c r="P15" s="2" t="s">
        <v>81</v>
      </c>
      <c r="Q15" s="2" t="s">
        <v>89</v>
      </c>
      <c r="R15" s="2" t="s">
        <v>81</v>
      </c>
      <c r="S15" s="2" t="s">
        <v>60</v>
      </c>
      <c r="T15" s="6">
        <v>0.4597222222222222</v>
      </c>
      <c r="U15" s="2" t="s">
        <v>61</v>
      </c>
      <c r="V15" s="2" t="s">
        <v>62</v>
      </c>
    </row>
    <row r="16" spans="1:22" ht="18" customHeight="1" x14ac:dyDescent="0.3">
      <c r="A16" s="2" t="s">
        <v>515</v>
      </c>
      <c r="B16" s="2" t="s">
        <v>216</v>
      </c>
      <c r="C16" s="2" t="s">
        <v>217</v>
      </c>
      <c r="D16" s="2" t="s">
        <v>1320</v>
      </c>
      <c r="E16" s="2" t="s">
        <v>75</v>
      </c>
      <c r="F16" s="2" t="s">
        <v>55</v>
      </c>
      <c r="G16" s="3">
        <v>46174.653506944444</v>
      </c>
      <c r="H16" s="3">
        <v>46184.400879629633</v>
      </c>
      <c r="I16" s="2" t="s">
        <v>123</v>
      </c>
      <c r="J16" s="2">
        <v>3</v>
      </c>
      <c r="K16" s="2" t="s">
        <v>234</v>
      </c>
      <c r="L16" s="4" t="s">
        <v>125</v>
      </c>
      <c r="M16" s="2"/>
      <c r="N16" s="2" t="s">
        <v>78</v>
      </c>
      <c r="O16" s="2"/>
      <c r="P16" s="2" t="s">
        <v>78</v>
      </c>
      <c r="Q16" s="2" t="s">
        <v>94</v>
      </c>
      <c r="R16" s="2" t="s">
        <v>78</v>
      </c>
      <c r="S16" s="2" t="s">
        <v>60</v>
      </c>
      <c r="T16" s="5">
        <v>3.2479166666666668</v>
      </c>
      <c r="U16" s="2" t="s">
        <v>61</v>
      </c>
      <c r="V16" s="2" t="s">
        <v>62</v>
      </c>
    </row>
    <row r="17" spans="1:22" ht="18" customHeight="1" x14ac:dyDescent="0.3">
      <c r="A17" s="2" t="s">
        <v>516</v>
      </c>
      <c r="B17" s="2" t="s">
        <v>207</v>
      </c>
      <c r="C17" s="2" t="s">
        <v>208</v>
      </c>
      <c r="D17" s="2" t="s">
        <v>1142</v>
      </c>
      <c r="E17" s="2" t="s">
        <v>72</v>
      </c>
      <c r="F17" s="2" t="s">
        <v>55</v>
      </c>
      <c r="G17" s="3">
        <v>46174.655115740738</v>
      </c>
      <c r="H17" s="2"/>
      <c r="I17" s="2" t="s">
        <v>282</v>
      </c>
      <c r="J17" s="2">
        <v>2</v>
      </c>
      <c r="K17" s="2" t="s">
        <v>517</v>
      </c>
      <c r="L17" s="2"/>
      <c r="M17" s="2"/>
      <c r="N17" s="2" t="s">
        <v>78</v>
      </c>
      <c r="O17" s="2" t="s">
        <v>78</v>
      </c>
      <c r="P17" s="2"/>
      <c r="Q17" s="2"/>
      <c r="R17" s="2" t="s">
        <v>78</v>
      </c>
      <c r="S17" s="2" t="s">
        <v>92</v>
      </c>
      <c r="T17" s="6">
        <v>0</v>
      </c>
      <c r="U17" s="2" t="s">
        <v>117</v>
      </c>
      <c r="V17" s="2" t="s">
        <v>62</v>
      </c>
    </row>
    <row r="18" spans="1:22" ht="18" customHeight="1" x14ac:dyDescent="0.3">
      <c r="A18" s="2" t="s">
        <v>518</v>
      </c>
      <c r="B18" s="2" t="s">
        <v>269</v>
      </c>
      <c r="C18" s="2" t="s">
        <v>270</v>
      </c>
      <c r="D18" s="2" t="s">
        <v>1142</v>
      </c>
      <c r="E18" s="2" t="s">
        <v>72</v>
      </c>
      <c r="F18" s="2" t="s">
        <v>55</v>
      </c>
      <c r="G18" s="3">
        <v>46174.673067129632</v>
      </c>
      <c r="H18" s="3">
        <v>46202.449548611112</v>
      </c>
      <c r="I18" s="2" t="s">
        <v>99</v>
      </c>
      <c r="J18" s="2">
        <v>2</v>
      </c>
      <c r="K18" s="2" t="s">
        <v>519</v>
      </c>
      <c r="L18" s="4" t="s">
        <v>520</v>
      </c>
      <c r="M18" s="2"/>
      <c r="N18" s="2" t="s">
        <v>78</v>
      </c>
      <c r="O18" s="2"/>
      <c r="P18" s="2" t="s">
        <v>78</v>
      </c>
      <c r="Q18" s="2" t="s">
        <v>103</v>
      </c>
      <c r="R18" s="2" t="s">
        <v>78</v>
      </c>
      <c r="S18" s="2" t="s">
        <v>60</v>
      </c>
      <c r="T18" s="5">
        <v>8.5270833333333336</v>
      </c>
      <c r="U18" s="2" t="s">
        <v>61</v>
      </c>
      <c r="V18" s="2" t="s">
        <v>62</v>
      </c>
    </row>
    <row r="19" spans="1:22" ht="18" customHeight="1" x14ac:dyDescent="0.3">
      <c r="A19" s="2" t="s">
        <v>521</v>
      </c>
      <c r="B19" s="2" t="s">
        <v>387</v>
      </c>
      <c r="C19" s="2" t="s">
        <v>388</v>
      </c>
      <c r="D19" s="2" t="s">
        <v>1318</v>
      </c>
      <c r="E19" s="2" t="s">
        <v>72</v>
      </c>
      <c r="F19" s="2" t="s">
        <v>55</v>
      </c>
      <c r="G19" s="3">
        <v>46174.73636574074</v>
      </c>
      <c r="H19" s="3">
        <v>46191.455393518518</v>
      </c>
      <c r="I19" s="2" t="s">
        <v>99</v>
      </c>
      <c r="J19" s="2">
        <v>2</v>
      </c>
      <c r="K19" s="2" t="s">
        <v>522</v>
      </c>
      <c r="L19" s="4" t="s">
        <v>235</v>
      </c>
      <c r="M19" s="2"/>
      <c r="N19" s="2" t="s">
        <v>78</v>
      </c>
      <c r="O19" s="2"/>
      <c r="P19" s="2" t="s">
        <v>78</v>
      </c>
      <c r="Q19" s="2" t="s">
        <v>103</v>
      </c>
      <c r="R19" s="2" t="s">
        <v>78</v>
      </c>
      <c r="S19" s="2" t="s">
        <v>60</v>
      </c>
      <c r="T19" s="5">
        <v>5.4069444444444441</v>
      </c>
      <c r="U19" s="2" t="s">
        <v>61</v>
      </c>
      <c r="V19" s="2" t="s">
        <v>62</v>
      </c>
    </row>
    <row r="20" spans="1:22" ht="18" customHeight="1" x14ac:dyDescent="0.3">
      <c r="A20" s="2" t="s">
        <v>523</v>
      </c>
      <c r="B20" s="2" t="s">
        <v>167</v>
      </c>
      <c r="C20" s="2" t="s">
        <v>168</v>
      </c>
      <c r="D20" s="2" t="s">
        <v>1321</v>
      </c>
      <c r="E20" s="2" t="s">
        <v>54</v>
      </c>
      <c r="F20" s="2" t="s">
        <v>55</v>
      </c>
      <c r="G20" s="3">
        <v>46175.297337962962</v>
      </c>
      <c r="H20" s="3">
        <v>46175.450243055559</v>
      </c>
      <c r="I20" s="2" t="s">
        <v>275</v>
      </c>
      <c r="J20" s="2">
        <v>3</v>
      </c>
      <c r="K20" s="4" t="s">
        <v>524</v>
      </c>
      <c r="L20" s="2"/>
      <c r="M20" s="2"/>
      <c r="N20" s="2" t="s">
        <v>126</v>
      </c>
      <c r="O20" s="2" t="s">
        <v>126</v>
      </c>
      <c r="P20" s="2" t="s">
        <v>126</v>
      </c>
      <c r="Q20" s="2" t="s">
        <v>225</v>
      </c>
      <c r="R20" s="2" t="s">
        <v>126</v>
      </c>
      <c r="S20" s="2" t="s">
        <v>60</v>
      </c>
      <c r="T20" s="6">
        <v>0</v>
      </c>
      <c r="U20" s="2" t="s">
        <v>61</v>
      </c>
      <c r="V20" s="2" t="s">
        <v>276</v>
      </c>
    </row>
    <row r="21" spans="1:22" ht="18" customHeight="1" x14ac:dyDescent="0.3">
      <c r="A21" s="2" t="s">
        <v>525</v>
      </c>
      <c r="B21" s="2" t="s">
        <v>167</v>
      </c>
      <c r="C21" s="2" t="s">
        <v>168</v>
      </c>
      <c r="D21" s="2" t="s">
        <v>1321</v>
      </c>
      <c r="E21" s="2" t="s">
        <v>54</v>
      </c>
      <c r="F21" s="2" t="s">
        <v>55</v>
      </c>
      <c r="G21" s="3">
        <v>46175.29824074074</v>
      </c>
      <c r="H21" s="3">
        <v>46175.450069444443</v>
      </c>
      <c r="I21" s="2" t="s">
        <v>275</v>
      </c>
      <c r="J21" s="2">
        <v>3</v>
      </c>
      <c r="K21" s="4" t="s">
        <v>526</v>
      </c>
      <c r="L21" s="2"/>
      <c r="M21" s="2"/>
      <c r="N21" s="2" t="s">
        <v>126</v>
      </c>
      <c r="O21" s="2" t="s">
        <v>126</v>
      </c>
      <c r="P21" s="2" t="s">
        <v>126</v>
      </c>
      <c r="Q21" s="2" t="s">
        <v>225</v>
      </c>
      <c r="R21" s="2" t="s">
        <v>126</v>
      </c>
      <c r="S21" s="2" t="s">
        <v>60</v>
      </c>
      <c r="T21" s="6">
        <v>0</v>
      </c>
      <c r="U21" s="2" t="s">
        <v>61</v>
      </c>
      <c r="V21" s="2" t="s">
        <v>276</v>
      </c>
    </row>
    <row r="22" spans="1:22" ht="18" customHeight="1" x14ac:dyDescent="0.3">
      <c r="A22" s="2" t="s">
        <v>527</v>
      </c>
      <c r="B22" s="2" t="s">
        <v>167</v>
      </c>
      <c r="C22" s="2" t="s">
        <v>168</v>
      </c>
      <c r="D22" s="2" t="s">
        <v>1321</v>
      </c>
      <c r="E22" s="2" t="s">
        <v>54</v>
      </c>
      <c r="F22" s="2" t="s">
        <v>55</v>
      </c>
      <c r="G22" s="3">
        <v>46175.299189814818</v>
      </c>
      <c r="H22" s="3">
        <v>46175.449861111112</v>
      </c>
      <c r="I22" s="2" t="s">
        <v>275</v>
      </c>
      <c r="J22" s="2">
        <v>3</v>
      </c>
      <c r="K22" s="4" t="s">
        <v>528</v>
      </c>
      <c r="L22" s="2"/>
      <c r="M22" s="2"/>
      <c r="N22" s="2" t="s">
        <v>126</v>
      </c>
      <c r="O22" s="2" t="s">
        <v>126</v>
      </c>
      <c r="P22" s="2" t="s">
        <v>126</v>
      </c>
      <c r="Q22" s="2" t="s">
        <v>225</v>
      </c>
      <c r="R22" s="2" t="s">
        <v>126</v>
      </c>
      <c r="S22" s="2" t="s">
        <v>60</v>
      </c>
      <c r="T22" s="6">
        <v>0</v>
      </c>
      <c r="U22" s="2" t="s">
        <v>61</v>
      </c>
      <c r="V22" s="2" t="s">
        <v>276</v>
      </c>
    </row>
    <row r="23" spans="1:22" ht="18" customHeight="1" x14ac:dyDescent="0.3">
      <c r="A23" s="2" t="s">
        <v>529</v>
      </c>
      <c r="B23" s="2" t="s">
        <v>167</v>
      </c>
      <c r="C23" s="2" t="s">
        <v>168</v>
      </c>
      <c r="D23" s="2" t="s">
        <v>1321</v>
      </c>
      <c r="E23" s="2" t="s">
        <v>54</v>
      </c>
      <c r="F23" s="2" t="s">
        <v>55</v>
      </c>
      <c r="G23" s="3">
        <v>46175.300520833334</v>
      </c>
      <c r="H23" s="3">
        <v>46175.449629629627</v>
      </c>
      <c r="I23" s="2" t="s">
        <v>275</v>
      </c>
      <c r="J23" s="2">
        <v>3</v>
      </c>
      <c r="K23" s="4" t="s">
        <v>530</v>
      </c>
      <c r="L23" s="2"/>
      <c r="M23" s="2"/>
      <c r="N23" s="2" t="s">
        <v>126</v>
      </c>
      <c r="O23" s="2" t="s">
        <v>126</v>
      </c>
      <c r="P23" s="2" t="s">
        <v>126</v>
      </c>
      <c r="Q23" s="2" t="s">
        <v>225</v>
      </c>
      <c r="R23" s="2" t="s">
        <v>126</v>
      </c>
      <c r="S23" s="2" t="s">
        <v>60</v>
      </c>
      <c r="T23" s="6">
        <v>0</v>
      </c>
      <c r="U23" s="2" t="s">
        <v>61</v>
      </c>
      <c r="V23" s="2" t="s">
        <v>276</v>
      </c>
    </row>
    <row r="24" spans="1:22" ht="18" customHeight="1" x14ac:dyDescent="0.3">
      <c r="A24" s="2" t="s">
        <v>531</v>
      </c>
      <c r="B24" s="2" t="s">
        <v>167</v>
      </c>
      <c r="C24" s="2" t="s">
        <v>168</v>
      </c>
      <c r="D24" s="2" t="s">
        <v>1321</v>
      </c>
      <c r="E24" s="2" t="s">
        <v>54</v>
      </c>
      <c r="F24" s="2" t="s">
        <v>55</v>
      </c>
      <c r="G24" s="3">
        <v>46175.30128472222</v>
      </c>
      <c r="H24" s="3">
        <v>46175.44939814815</v>
      </c>
      <c r="I24" s="2" t="s">
        <v>275</v>
      </c>
      <c r="J24" s="2">
        <v>3</v>
      </c>
      <c r="K24" s="4" t="s">
        <v>532</v>
      </c>
      <c r="L24" s="2"/>
      <c r="M24" s="2"/>
      <c r="N24" s="2" t="s">
        <v>126</v>
      </c>
      <c r="O24" s="2" t="s">
        <v>126</v>
      </c>
      <c r="P24" s="2" t="s">
        <v>126</v>
      </c>
      <c r="Q24" s="2" t="s">
        <v>225</v>
      </c>
      <c r="R24" s="2" t="s">
        <v>126</v>
      </c>
      <c r="S24" s="2" t="s">
        <v>60</v>
      </c>
      <c r="T24" s="6">
        <v>0</v>
      </c>
      <c r="U24" s="2" t="s">
        <v>61</v>
      </c>
      <c r="V24" s="2" t="s">
        <v>276</v>
      </c>
    </row>
    <row r="25" spans="1:22" ht="18" customHeight="1" x14ac:dyDescent="0.3">
      <c r="A25" s="2" t="s">
        <v>533</v>
      </c>
      <c r="B25" s="2" t="s">
        <v>167</v>
      </c>
      <c r="C25" s="2" t="s">
        <v>168</v>
      </c>
      <c r="D25" s="2" t="s">
        <v>1321</v>
      </c>
      <c r="E25" s="2" t="s">
        <v>54</v>
      </c>
      <c r="F25" s="2" t="s">
        <v>55</v>
      </c>
      <c r="G25" s="3">
        <v>46175.302037037036</v>
      </c>
      <c r="H25" s="3">
        <v>46175.449212962965</v>
      </c>
      <c r="I25" s="2" t="s">
        <v>275</v>
      </c>
      <c r="J25" s="2">
        <v>3</v>
      </c>
      <c r="K25" s="4" t="s">
        <v>534</v>
      </c>
      <c r="L25" s="2"/>
      <c r="M25" s="2"/>
      <c r="N25" s="2" t="s">
        <v>126</v>
      </c>
      <c r="O25" s="2" t="s">
        <v>126</v>
      </c>
      <c r="P25" s="2" t="s">
        <v>126</v>
      </c>
      <c r="Q25" s="2" t="s">
        <v>225</v>
      </c>
      <c r="R25" s="2" t="s">
        <v>126</v>
      </c>
      <c r="S25" s="2" t="s">
        <v>60</v>
      </c>
      <c r="T25" s="6">
        <v>0</v>
      </c>
      <c r="U25" s="2" t="s">
        <v>61</v>
      </c>
      <c r="V25" s="2" t="s">
        <v>276</v>
      </c>
    </row>
    <row r="26" spans="1:22" ht="18" customHeight="1" x14ac:dyDescent="0.3">
      <c r="A26" s="2" t="s">
        <v>535</v>
      </c>
      <c r="B26" s="2" t="s">
        <v>167</v>
      </c>
      <c r="C26" s="2" t="s">
        <v>168</v>
      </c>
      <c r="D26" s="2" t="s">
        <v>1321</v>
      </c>
      <c r="E26" s="2" t="s">
        <v>54</v>
      </c>
      <c r="F26" s="2" t="s">
        <v>55</v>
      </c>
      <c r="G26" s="3">
        <v>46175.303252314814</v>
      </c>
      <c r="H26" s="3">
        <v>46175.449050925927</v>
      </c>
      <c r="I26" s="2" t="s">
        <v>275</v>
      </c>
      <c r="J26" s="2">
        <v>3</v>
      </c>
      <c r="K26" s="4" t="s">
        <v>536</v>
      </c>
      <c r="L26" s="2"/>
      <c r="M26" s="2"/>
      <c r="N26" s="2" t="s">
        <v>126</v>
      </c>
      <c r="O26" s="2" t="s">
        <v>126</v>
      </c>
      <c r="P26" s="2" t="s">
        <v>126</v>
      </c>
      <c r="Q26" s="2" t="s">
        <v>225</v>
      </c>
      <c r="R26" s="2" t="s">
        <v>126</v>
      </c>
      <c r="S26" s="2" t="s">
        <v>60</v>
      </c>
      <c r="T26" s="6">
        <v>0</v>
      </c>
      <c r="U26" s="2" t="s">
        <v>61</v>
      </c>
      <c r="V26" s="2" t="s">
        <v>276</v>
      </c>
    </row>
    <row r="27" spans="1:22" ht="18" customHeight="1" x14ac:dyDescent="0.3">
      <c r="A27" s="2" t="s">
        <v>537</v>
      </c>
      <c r="B27" s="2" t="s">
        <v>167</v>
      </c>
      <c r="C27" s="2" t="s">
        <v>168</v>
      </c>
      <c r="D27" s="2" t="s">
        <v>1321</v>
      </c>
      <c r="E27" s="2" t="s">
        <v>54</v>
      </c>
      <c r="F27" s="2" t="s">
        <v>55</v>
      </c>
      <c r="G27" s="3">
        <v>46175.303900462961</v>
      </c>
      <c r="H27" s="3">
        <v>46175.448865740742</v>
      </c>
      <c r="I27" s="2" t="s">
        <v>275</v>
      </c>
      <c r="J27" s="2">
        <v>3</v>
      </c>
      <c r="K27" s="4" t="s">
        <v>538</v>
      </c>
      <c r="L27" s="2"/>
      <c r="M27" s="2"/>
      <c r="N27" s="2" t="s">
        <v>126</v>
      </c>
      <c r="O27" s="2" t="s">
        <v>126</v>
      </c>
      <c r="P27" s="2" t="s">
        <v>126</v>
      </c>
      <c r="Q27" s="2" t="s">
        <v>225</v>
      </c>
      <c r="R27" s="2" t="s">
        <v>126</v>
      </c>
      <c r="S27" s="2" t="s">
        <v>60</v>
      </c>
      <c r="T27" s="6">
        <v>0</v>
      </c>
      <c r="U27" s="2" t="s">
        <v>61</v>
      </c>
      <c r="V27" s="2" t="s">
        <v>276</v>
      </c>
    </row>
    <row r="28" spans="1:22" ht="18" customHeight="1" x14ac:dyDescent="0.3">
      <c r="A28" s="2" t="s">
        <v>539</v>
      </c>
      <c r="B28" s="2" t="s">
        <v>167</v>
      </c>
      <c r="C28" s="2" t="s">
        <v>168</v>
      </c>
      <c r="D28" s="2" t="s">
        <v>1321</v>
      </c>
      <c r="E28" s="2" t="s">
        <v>54</v>
      </c>
      <c r="F28" s="2" t="s">
        <v>55</v>
      </c>
      <c r="G28" s="3">
        <v>46175.304583333331</v>
      </c>
      <c r="H28" s="3">
        <v>46175.448703703703</v>
      </c>
      <c r="I28" s="2" t="s">
        <v>275</v>
      </c>
      <c r="J28" s="2">
        <v>3</v>
      </c>
      <c r="K28" s="4" t="s">
        <v>540</v>
      </c>
      <c r="L28" s="2"/>
      <c r="M28" s="2"/>
      <c r="N28" s="2" t="s">
        <v>126</v>
      </c>
      <c r="O28" s="2" t="s">
        <v>126</v>
      </c>
      <c r="P28" s="2" t="s">
        <v>126</v>
      </c>
      <c r="Q28" s="2" t="s">
        <v>225</v>
      </c>
      <c r="R28" s="2" t="s">
        <v>126</v>
      </c>
      <c r="S28" s="2" t="s">
        <v>60</v>
      </c>
      <c r="T28" s="6">
        <v>0</v>
      </c>
      <c r="U28" s="2" t="s">
        <v>61</v>
      </c>
      <c r="V28" s="2" t="s">
        <v>276</v>
      </c>
    </row>
    <row r="29" spans="1:22" ht="18" customHeight="1" x14ac:dyDescent="0.3">
      <c r="A29" s="2" t="s">
        <v>541</v>
      </c>
      <c r="B29" s="2" t="s">
        <v>285</v>
      </c>
      <c r="C29" s="2" t="s">
        <v>286</v>
      </c>
      <c r="D29" s="2" t="s">
        <v>1320</v>
      </c>
      <c r="E29" s="2" t="s">
        <v>75</v>
      </c>
      <c r="F29" s="2" t="s">
        <v>55</v>
      </c>
      <c r="G29" s="3">
        <v>46175.306458333333</v>
      </c>
      <c r="H29" s="3">
        <v>46175.448495370372</v>
      </c>
      <c r="I29" s="2" t="s">
        <v>275</v>
      </c>
      <c r="J29" s="2">
        <v>3</v>
      </c>
      <c r="K29" s="2" t="s">
        <v>542</v>
      </c>
      <c r="L29" s="2"/>
      <c r="M29" s="2"/>
      <c r="N29" s="2" t="s">
        <v>126</v>
      </c>
      <c r="O29" s="2" t="s">
        <v>126</v>
      </c>
      <c r="P29" s="2" t="s">
        <v>126</v>
      </c>
      <c r="Q29" s="2" t="s">
        <v>225</v>
      </c>
      <c r="R29" s="2" t="s">
        <v>126</v>
      </c>
      <c r="S29" s="2" t="s">
        <v>60</v>
      </c>
      <c r="T29" s="6">
        <v>0</v>
      </c>
      <c r="U29" s="2" t="s">
        <v>61</v>
      </c>
      <c r="V29" s="2" t="s">
        <v>276</v>
      </c>
    </row>
    <row r="30" spans="1:22" ht="18" customHeight="1" x14ac:dyDescent="0.3">
      <c r="A30" s="2" t="s">
        <v>543</v>
      </c>
      <c r="B30" s="2" t="s">
        <v>285</v>
      </c>
      <c r="C30" s="2" t="s">
        <v>286</v>
      </c>
      <c r="D30" s="2" t="s">
        <v>1320</v>
      </c>
      <c r="E30" s="2" t="s">
        <v>75</v>
      </c>
      <c r="F30" s="2" t="s">
        <v>55</v>
      </c>
      <c r="G30" s="3">
        <v>46175.30709490741</v>
      </c>
      <c r="H30" s="3">
        <v>46175.44740740741</v>
      </c>
      <c r="I30" s="2" t="s">
        <v>275</v>
      </c>
      <c r="J30" s="2">
        <v>3</v>
      </c>
      <c r="K30" s="2" t="s">
        <v>544</v>
      </c>
      <c r="L30" s="2"/>
      <c r="M30" s="2"/>
      <c r="N30" s="2" t="s">
        <v>126</v>
      </c>
      <c r="O30" s="2" t="s">
        <v>126</v>
      </c>
      <c r="P30" s="2" t="s">
        <v>126</v>
      </c>
      <c r="Q30" s="2" t="s">
        <v>225</v>
      </c>
      <c r="R30" s="2" t="s">
        <v>126</v>
      </c>
      <c r="S30" s="2" t="s">
        <v>60</v>
      </c>
      <c r="T30" s="6">
        <v>0</v>
      </c>
      <c r="U30" s="2" t="s">
        <v>61</v>
      </c>
      <c r="V30" s="2" t="s">
        <v>276</v>
      </c>
    </row>
    <row r="31" spans="1:22" ht="18" customHeight="1" x14ac:dyDescent="0.3">
      <c r="A31" s="2" t="s">
        <v>545</v>
      </c>
      <c r="B31" s="2" t="s">
        <v>285</v>
      </c>
      <c r="C31" s="2" t="s">
        <v>286</v>
      </c>
      <c r="D31" s="2" t="s">
        <v>1320</v>
      </c>
      <c r="E31" s="2" t="s">
        <v>75</v>
      </c>
      <c r="F31" s="2" t="s">
        <v>55</v>
      </c>
      <c r="G31" s="3">
        <v>46175.308206018519</v>
      </c>
      <c r="H31" s="3">
        <v>46175.447268518517</v>
      </c>
      <c r="I31" s="2" t="s">
        <v>275</v>
      </c>
      <c r="J31" s="2">
        <v>3</v>
      </c>
      <c r="K31" s="2" t="s">
        <v>546</v>
      </c>
      <c r="L31" s="2"/>
      <c r="M31" s="2"/>
      <c r="N31" s="2" t="s">
        <v>126</v>
      </c>
      <c r="O31" s="2" t="s">
        <v>126</v>
      </c>
      <c r="P31" s="2" t="s">
        <v>126</v>
      </c>
      <c r="Q31" s="2" t="s">
        <v>225</v>
      </c>
      <c r="R31" s="2" t="s">
        <v>126</v>
      </c>
      <c r="S31" s="2" t="s">
        <v>60</v>
      </c>
      <c r="T31" s="6">
        <v>0</v>
      </c>
      <c r="U31" s="2" t="s">
        <v>61</v>
      </c>
      <c r="V31" s="2" t="s">
        <v>276</v>
      </c>
    </row>
    <row r="32" spans="1:22" ht="18" customHeight="1" x14ac:dyDescent="0.3">
      <c r="A32" s="2" t="s">
        <v>547</v>
      </c>
      <c r="B32" s="2" t="s">
        <v>285</v>
      </c>
      <c r="C32" s="2" t="s">
        <v>286</v>
      </c>
      <c r="D32" s="2" t="s">
        <v>1320</v>
      </c>
      <c r="E32" s="2" t="s">
        <v>75</v>
      </c>
      <c r="F32" s="2" t="s">
        <v>55</v>
      </c>
      <c r="G32" s="3">
        <v>46175.308738425927</v>
      </c>
      <c r="H32" s="3">
        <v>46175.447060185186</v>
      </c>
      <c r="I32" s="2" t="s">
        <v>275</v>
      </c>
      <c r="J32" s="2">
        <v>3</v>
      </c>
      <c r="K32" s="2" t="s">
        <v>548</v>
      </c>
      <c r="L32" s="2"/>
      <c r="M32" s="2"/>
      <c r="N32" s="2" t="s">
        <v>126</v>
      </c>
      <c r="O32" s="2" t="s">
        <v>126</v>
      </c>
      <c r="P32" s="2" t="s">
        <v>126</v>
      </c>
      <c r="Q32" s="2" t="s">
        <v>225</v>
      </c>
      <c r="R32" s="2" t="s">
        <v>126</v>
      </c>
      <c r="S32" s="2" t="s">
        <v>60</v>
      </c>
      <c r="T32" s="6">
        <v>0</v>
      </c>
      <c r="U32" s="2" t="s">
        <v>61</v>
      </c>
      <c r="V32" s="2" t="s">
        <v>276</v>
      </c>
    </row>
    <row r="33" spans="1:22" ht="18" customHeight="1" x14ac:dyDescent="0.3">
      <c r="A33" s="2" t="s">
        <v>549</v>
      </c>
      <c r="B33" s="2" t="s">
        <v>285</v>
      </c>
      <c r="C33" s="2" t="s">
        <v>286</v>
      </c>
      <c r="D33" s="2" t="s">
        <v>1320</v>
      </c>
      <c r="E33" s="2" t="s">
        <v>75</v>
      </c>
      <c r="F33" s="2" t="s">
        <v>55</v>
      </c>
      <c r="G33" s="3">
        <v>46175.309884259259</v>
      </c>
      <c r="H33" s="3">
        <v>46175.446782407409</v>
      </c>
      <c r="I33" s="2" t="s">
        <v>275</v>
      </c>
      <c r="J33" s="2">
        <v>3</v>
      </c>
      <c r="K33" s="2" t="s">
        <v>550</v>
      </c>
      <c r="L33" s="2"/>
      <c r="M33" s="2"/>
      <c r="N33" s="2" t="s">
        <v>126</v>
      </c>
      <c r="O33" s="2" t="s">
        <v>126</v>
      </c>
      <c r="P33" s="2" t="s">
        <v>126</v>
      </c>
      <c r="Q33" s="2" t="s">
        <v>225</v>
      </c>
      <c r="R33" s="2" t="s">
        <v>126</v>
      </c>
      <c r="S33" s="2" t="s">
        <v>60</v>
      </c>
      <c r="T33" s="6">
        <v>0</v>
      </c>
      <c r="U33" s="2" t="s">
        <v>61</v>
      </c>
      <c r="V33" s="2" t="s">
        <v>276</v>
      </c>
    </row>
    <row r="34" spans="1:22" ht="18" customHeight="1" x14ac:dyDescent="0.3">
      <c r="A34" s="2" t="s">
        <v>551</v>
      </c>
      <c r="B34" s="2" t="s">
        <v>552</v>
      </c>
      <c r="C34" s="2" t="s">
        <v>553</v>
      </c>
      <c r="D34" s="2" t="s">
        <v>1320</v>
      </c>
      <c r="E34" s="2" t="s">
        <v>75</v>
      </c>
      <c r="F34" s="2" t="s">
        <v>55</v>
      </c>
      <c r="G34" s="3">
        <v>46175.421006944445</v>
      </c>
      <c r="H34" s="3">
        <v>46184.400370370371</v>
      </c>
      <c r="I34" s="2" t="s">
        <v>123</v>
      </c>
      <c r="J34" s="2">
        <v>3</v>
      </c>
      <c r="K34" s="2" t="s">
        <v>234</v>
      </c>
      <c r="L34" s="4" t="s">
        <v>554</v>
      </c>
      <c r="M34" s="2"/>
      <c r="N34" s="2" t="s">
        <v>78</v>
      </c>
      <c r="O34" s="2"/>
      <c r="P34" s="2" t="s">
        <v>78</v>
      </c>
      <c r="Q34" s="2" t="s">
        <v>94</v>
      </c>
      <c r="R34" s="2" t="s">
        <v>78</v>
      </c>
      <c r="S34" s="2" t="s">
        <v>60</v>
      </c>
      <c r="T34" s="5">
        <v>3.0423611111111111</v>
      </c>
      <c r="U34" s="2" t="s">
        <v>61</v>
      </c>
      <c r="V34" s="2" t="s">
        <v>62</v>
      </c>
    </row>
    <row r="35" spans="1:22" ht="18" customHeight="1" x14ac:dyDescent="0.3">
      <c r="A35" s="2" t="s">
        <v>555</v>
      </c>
      <c r="B35" s="2" t="s">
        <v>556</v>
      </c>
      <c r="C35" s="2" t="s">
        <v>557</v>
      </c>
      <c r="D35" s="2" t="s">
        <v>1319</v>
      </c>
      <c r="E35" s="2" t="s">
        <v>66</v>
      </c>
      <c r="F35" s="2" t="s">
        <v>67</v>
      </c>
      <c r="G35" s="3">
        <v>46175.443784722222</v>
      </c>
      <c r="H35" s="3">
        <v>46182.417893518519</v>
      </c>
      <c r="I35" s="2" t="s">
        <v>97</v>
      </c>
      <c r="J35" s="2">
        <v>3</v>
      </c>
      <c r="K35" s="2" t="s">
        <v>558</v>
      </c>
      <c r="L35" s="2"/>
      <c r="M35" s="2"/>
      <c r="N35" s="2" t="s">
        <v>105</v>
      </c>
      <c r="O35" s="2"/>
      <c r="P35" s="2" t="s">
        <v>98</v>
      </c>
      <c r="Q35" s="2" t="s">
        <v>106</v>
      </c>
      <c r="R35" s="2" t="s">
        <v>105</v>
      </c>
      <c r="S35" s="2" t="s">
        <v>60</v>
      </c>
      <c r="T35" s="5">
        <v>2.1618055555555555</v>
      </c>
      <c r="U35" s="2" t="s">
        <v>61</v>
      </c>
      <c r="V35" s="2" t="s">
        <v>62</v>
      </c>
    </row>
    <row r="36" spans="1:22" ht="18" customHeight="1" x14ac:dyDescent="0.3">
      <c r="A36" s="2" t="s">
        <v>559</v>
      </c>
      <c r="B36" s="2" t="s">
        <v>560</v>
      </c>
      <c r="C36" s="2" t="s">
        <v>561</v>
      </c>
      <c r="D36" s="2" t="s">
        <v>1319</v>
      </c>
      <c r="E36" s="2" t="s">
        <v>66</v>
      </c>
      <c r="F36" s="2" t="s">
        <v>67</v>
      </c>
      <c r="G36" s="3">
        <v>46175.462708333333</v>
      </c>
      <c r="H36" s="3">
        <v>46181.664166666669</v>
      </c>
      <c r="I36" s="2" t="s">
        <v>93</v>
      </c>
      <c r="J36" s="2">
        <v>3</v>
      </c>
      <c r="K36" s="2" t="s">
        <v>562</v>
      </c>
      <c r="L36" s="4" t="s">
        <v>563</v>
      </c>
      <c r="M36" s="2"/>
      <c r="N36" s="2" t="s">
        <v>78</v>
      </c>
      <c r="O36" s="2"/>
      <c r="P36" s="2" t="s">
        <v>81</v>
      </c>
      <c r="Q36" s="2" t="s">
        <v>80</v>
      </c>
      <c r="R36" s="2" t="s">
        <v>78</v>
      </c>
      <c r="S36" s="2" t="s">
        <v>60</v>
      </c>
      <c r="T36" s="5">
        <v>1.2625</v>
      </c>
      <c r="U36" s="2" t="s">
        <v>61</v>
      </c>
      <c r="V36" s="2" t="s">
        <v>62</v>
      </c>
    </row>
    <row r="37" spans="1:22" ht="18" customHeight="1" x14ac:dyDescent="0.3">
      <c r="A37" s="2" t="s">
        <v>564</v>
      </c>
      <c r="B37" s="2" t="s">
        <v>565</v>
      </c>
      <c r="C37" s="2" t="s">
        <v>566</v>
      </c>
      <c r="D37" s="2" t="s">
        <v>1319</v>
      </c>
      <c r="E37" s="2" t="s">
        <v>66</v>
      </c>
      <c r="F37" s="2" t="s">
        <v>67</v>
      </c>
      <c r="G37" s="3">
        <v>46175.464918981481</v>
      </c>
      <c r="H37" s="3">
        <v>46181.663611111115</v>
      </c>
      <c r="I37" s="2" t="s">
        <v>93</v>
      </c>
      <c r="J37" s="2">
        <v>3</v>
      </c>
      <c r="K37" s="2" t="s">
        <v>562</v>
      </c>
      <c r="L37" s="4" t="s">
        <v>563</v>
      </c>
      <c r="M37" s="2"/>
      <c r="N37" s="2" t="s">
        <v>78</v>
      </c>
      <c r="O37" s="2"/>
      <c r="P37" s="2" t="s">
        <v>81</v>
      </c>
      <c r="Q37" s="2" t="s">
        <v>80</v>
      </c>
      <c r="R37" s="2" t="s">
        <v>78</v>
      </c>
      <c r="S37" s="2" t="s">
        <v>60</v>
      </c>
      <c r="T37" s="5">
        <v>1.2597222222222222</v>
      </c>
      <c r="U37" s="2" t="s">
        <v>61</v>
      </c>
      <c r="V37" s="2" t="s">
        <v>62</v>
      </c>
    </row>
    <row r="38" spans="1:22" ht="18" customHeight="1" x14ac:dyDescent="0.3">
      <c r="A38" s="2" t="s">
        <v>567</v>
      </c>
      <c r="B38" s="2" t="s">
        <v>568</v>
      </c>
      <c r="C38" s="2" t="s">
        <v>569</v>
      </c>
      <c r="D38" s="2" t="s">
        <v>1319</v>
      </c>
      <c r="E38" s="2" t="s">
        <v>66</v>
      </c>
      <c r="F38" s="2" t="s">
        <v>76</v>
      </c>
      <c r="G38" s="3">
        <v>46175.613356481481</v>
      </c>
      <c r="H38" s="3">
        <v>46204.517731481479</v>
      </c>
      <c r="I38" s="2" t="s">
        <v>570</v>
      </c>
      <c r="J38" s="2">
        <v>3</v>
      </c>
      <c r="K38" s="4" t="s">
        <v>571</v>
      </c>
      <c r="L38" s="4" t="s">
        <v>572</v>
      </c>
      <c r="M38" s="2"/>
      <c r="N38" s="2" t="s">
        <v>81</v>
      </c>
      <c r="O38" s="2"/>
      <c r="P38" s="2" t="s">
        <v>81</v>
      </c>
      <c r="Q38" s="2" t="s">
        <v>90</v>
      </c>
      <c r="R38" s="2" t="s">
        <v>81</v>
      </c>
      <c r="S38" s="2" t="s">
        <v>60</v>
      </c>
      <c r="T38" s="5">
        <v>9.0923611111111118</v>
      </c>
      <c r="U38" s="2" t="s">
        <v>61</v>
      </c>
      <c r="V38" s="2" t="s">
        <v>62</v>
      </c>
    </row>
    <row r="39" spans="1:22" ht="18" customHeight="1" x14ac:dyDescent="0.3">
      <c r="A39" s="2" t="s">
        <v>573</v>
      </c>
      <c r="B39" s="2" t="s">
        <v>68</v>
      </c>
      <c r="C39" s="2" t="s">
        <v>69</v>
      </c>
      <c r="D39" s="2" t="s">
        <v>1321</v>
      </c>
      <c r="E39" s="2" t="s">
        <v>54</v>
      </c>
      <c r="F39" s="2" t="s">
        <v>55</v>
      </c>
      <c r="G39" s="3">
        <v>46175.656284722223</v>
      </c>
      <c r="H39" s="3">
        <v>46176.539502314816</v>
      </c>
      <c r="I39" s="2" t="s">
        <v>97</v>
      </c>
      <c r="J39" s="2">
        <v>2</v>
      </c>
      <c r="K39" s="2" t="s">
        <v>574</v>
      </c>
      <c r="L39" s="4" t="s">
        <v>575</v>
      </c>
      <c r="M39" s="2"/>
      <c r="N39" s="2" t="s">
        <v>105</v>
      </c>
      <c r="O39" s="2"/>
      <c r="P39" s="2" t="s">
        <v>98</v>
      </c>
      <c r="Q39" s="2" t="s">
        <v>171</v>
      </c>
      <c r="R39" s="2" t="s">
        <v>105</v>
      </c>
      <c r="S39" s="2" t="s">
        <v>60</v>
      </c>
      <c r="T39" s="6">
        <v>0.32083333333333336</v>
      </c>
      <c r="U39" s="2" t="s">
        <v>61</v>
      </c>
      <c r="V39" s="2" t="s">
        <v>62</v>
      </c>
    </row>
    <row r="40" spans="1:22" ht="18" customHeight="1" x14ac:dyDescent="0.3">
      <c r="A40" s="2" t="s">
        <v>576</v>
      </c>
      <c r="B40" s="2" t="s">
        <v>185</v>
      </c>
      <c r="C40" s="2" t="s">
        <v>186</v>
      </c>
      <c r="D40" s="2" t="s">
        <v>1318</v>
      </c>
      <c r="E40" s="2" t="s">
        <v>72</v>
      </c>
      <c r="F40" s="2" t="s">
        <v>55</v>
      </c>
      <c r="G40" s="3">
        <v>46175.658229166664</v>
      </c>
      <c r="H40" s="3">
        <v>46176.421805555554</v>
      </c>
      <c r="I40" s="2" t="s">
        <v>128</v>
      </c>
      <c r="J40" s="2">
        <v>2</v>
      </c>
      <c r="K40" s="2" t="s">
        <v>129</v>
      </c>
      <c r="L40" s="4" t="s">
        <v>577</v>
      </c>
      <c r="M40" s="2"/>
      <c r="N40" s="2" t="s">
        <v>71</v>
      </c>
      <c r="O40" s="2"/>
      <c r="P40" s="2" t="s">
        <v>71</v>
      </c>
      <c r="Q40" s="2" t="s">
        <v>130</v>
      </c>
      <c r="R40" s="2" t="s">
        <v>71</v>
      </c>
      <c r="S40" s="2" t="s">
        <v>60</v>
      </c>
      <c r="T40" s="6">
        <v>0.2013888888888889</v>
      </c>
      <c r="U40" s="2" t="s">
        <v>61</v>
      </c>
      <c r="V40" s="2" t="s">
        <v>62</v>
      </c>
    </row>
    <row r="41" spans="1:22" ht="18" customHeight="1" x14ac:dyDescent="0.3">
      <c r="A41" s="2" t="s">
        <v>578</v>
      </c>
      <c r="B41" s="2" t="s">
        <v>579</v>
      </c>
      <c r="C41" s="2" t="s">
        <v>580</v>
      </c>
      <c r="D41" s="2" t="s">
        <v>1319</v>
      </c>
      <c r="E41" s="2" t="s">
        <v>66</v>
      </c>
      <c r="F41" s="2" t="s">
        <v>76</v>
      </c>
      <c r="G41" s="3">
        <v>46175.689745370371</v>
      </c>
      <c r="H41" s="2"/>
      <c r="I41" s="2" t="s">
        <v>581</v>
      </c>
      <c r="J41" s="2">
        <v>3</v>
      </c>
      <c r="K41" s="2" t="s">
        <v>582</v>
      </c>
      <c r="L41" s="4" t="s">
        <v>583</v>
      </c>
      <c r="M41" s="2"/>
      <c r="N41" s="2" t="s">
        <v>81</v>
      </c>
      <c r="O41" s="2" t="s">
        <v>81</v>
      </c>
      <c r="P41" s="2"/>
      <c r="Q41" s="2"/>
      <c r="R41" s="2" t="s">
        <v>81</v>
      </c>
      <c r="S41" s="2" t="s">
        <v>82</v>
      </c>
      <c r="T41" s="6">
        <v>0</v>
      </c>
      <c r="U41" s="2" t="s">
        <v>83</v>
      </c>
      <c r="V41" s="2" t="s">
        <v>62</v>
      </c>
    </row>
    <row r="42" spans="1:22" ht="18" customHeight="1" x14ac:dyDescent="0.3">
      <c r="A42" s="2" t="s">
        <v>584</v>
      </c>
      <c r="B42" s="2" t="s">
        <v>585</v>
      </c>
      <c r="C42" s="2" t="s">
        <v>586</v>
      </c>
      <c r="D42" s="2" t="s">
        <v>1319</v>
      </c>
      <c r="E42" s="2" t="s">
        <v>66</v>
      </c>
      <c r="F42" s="2" t="s">
        <v>67</v>
      </c>
      <c r="G42" s="3">
        <v>46176.428206018521</v>
      </c>
      <c r="H42" s="3">
        <v>46183.527581018519</v>
      </c>
      <c r="I42" s="2" t="s">
        <v>77</v>
      </c>
      <c r="J42" s="2">
        <v>3</v>
      </c>
      <c r="K42" s="2" t="s">
        <v>587</v>
      </c>
      <c r="L42" s="4" t="s">
        <v>588</v>
      </c>
      <c r="M42" s="2"/>
      <c r="N42" s="2" t="s">
        <v>78</v>
      </c>
      <c r="O42" s="2"/>
      <c r="P42" s="2" t="s">
        <v>79</v>
      </c>
      <c r="Q42" s="2" t="s">
        <v>80</v>
      </c>
      <c r="R42" s="2" t="s">
        <v>78</v>
      </c>
      <c r="S42" s="2" t="s">
        <v>60</v>
      </c>
      <c r="T42" s="5">
        <v>2.2875000000000001</v>
      </c>
      <c r="U42" s="2" t="s">
        <v>61</v>
      </c>
      <c r="V42" s="2" t="s">
        <v>62</v>
      </c>
    </row>
    <row r="43" spans="1:22" ht="18" customHeight="1" x14ac:dyDescent="0.3">
      <c r="A43" s="2" t="s">
        <v>589</v>
      </c>
      <c r="B43" s="2" t="s">
        <v>167</v>
      </c>
      <c r="C43" s="2" t="s">
        <v>168</v>
      </c>
      <c r="D43" s="2" t="s">
        <v>1321</v>
      </c>
      <c r="E43" s="2" t="s">
        <v>54</v>
      </c>
      <c r="F43" s="2" t="s">
        <v>55</v>
      </c>
      <c r="G43" s="3">
        <v>46176.432581018518</v>
      </c>
      <c r="H43" s="3">
        <v>46176.543495370373</v>
      </c>
      <c r="I43" s="2" t="s">
        <v>275</v>
      </c>
      <c r="J43" s="2">
        <v>3</v>
      </c>
      <c r="K43" s="4" t="s">
        <v>590</v>
      </c>
      <c r="L43" s="2"/>
      <c r="M43" s="2"/>
      <c r="N43" s="2" t="s">
        <v>126</v>
      </c>
      <c r="O43" s="2" t="s">
        <v>126</v>
      </c>
      <c r="P43" s="2" t="s">
        <v>126</v>
      </c>
      <c r="Q43" s="2" t="s">
        <v>225</v>
      </c>
      <c r="R43" s="2" t="s">
        <v>126</v>
      </c>
      <c r="S43" s="2" t="s">
        <v>60</v>
      </c>
      <c r="T43" s="6">
        <v>0</v>
      </c>
      <c r="U43" s="2" t="s">
        <v>61</v>
      </c>
      <c r="V43" s="2" t="s">
        <v>276</v>
      </c>
    </row>
    <row r="44" spans="1:22" ht="18" customHeight="1" x14ac:dyDescent="0.3">
      <c r="A44" s="2" t="s">
        <v>591</v>
      </c>
      <c r="B44" s="2" t="s">
        <v>167</v>
      </c>
      <c r="C44" s="2" t="s">
        <v>168</v>
      </c>
      <c r="D44" s="2" t="s">
        <v>1321</v>
      </c>
      <c r="E44" s="2" t="s">
        <v>54</v>
      </c>
      <c r="F44" s="2" t="s">
        <v>55</v>
      </c>
      <c r="G44" s="3">
        <v>46176.433587962965</v>
      </c>
      <c r="H44" s="3">
        <v>46176.543321759258</v>
      </c>
      <c r="I44" s="2" t="s">
        <v>275</v>
      </c>
      <c r="J44" s="2">
        <v>3</v>
      </c>
      <c r="K44" s="4" t="s">
        <v>592</v>
      </c>
      <c r="L44" s="2"/>
      <c r="M44" s="2"/>
      <c r="N44" s="2" t="s">
        <v>126</v>
      </c>
      <c r="O44" s="2" t="s">
        <v>126</v>
      </c>
      <c r="P44" s="2" t="s">
        <v>126</v>
      </c>
      <c r="Q44" s="2" t="s">
        <v>225</v>
      </c>
      <c r="R44" s="2" t="s">
        <v>126</v>
      </c>
      <c r="S44" s="2" t="s">
        <v>60</v>
      </c>
      <c r="T44" s="6">
        <v>0</v>
      </c>
      <c r="U44" s="2" t="s">
        <v>61</v>
      </c>
      <c r="V44" s="2" t="s">
        <v>276</v>
      </c>
    </row>
    <row r="45" spans="1:22" ht="18" customHeight="1" x14ac:dyDescent="0.3">
      <c r="A45" s="2" t="s">
        <v>593</v>
      </c>
      <c r="B45" s="2" t="s">
        <v>167</v>
      </c>
      <c r="C45" s="2" t="s">
        <v>168</v>
      </c>
      <c r="D45" s="2" t="s">
        <v>1321</v>
      </c>
      <c r="E45" s="2" t="s">
        <v>54</v>
      </c>
      <c r="F45" s="2" t="s">
        <v>55</v>
      </c>
      <c r="G45" s="3">
        <v>46176.434479166666</v>
      </c>
      <c r="H45" s="3">
        <v>46176.543182870373</v>
      </c>
      <c r="I45" s="2" t="s">
        <v>275</v>
      </c>
      <c r="J45" s="2">
        <v>3</v>
      </c>
      <c r="K45" s="4" t="s">
        <v>594</v>
      </c>
      <c r="L45" s="2"/>
      <c r="M45" s="2"/>
      <c r="N45" s="2" t="s">
        <v>126</v>
      </c>
      <c r="O45" s="2" t="s">
        <v>126</v>
      </c>
      <c r="P45" s="2" t="s">
        <v>126</v>
      </c>
      <c r="Q45" s="2" t="s">
        <v>225</v>
      </c>
      <c r="R45" s="2" t="s">
        <v>126</v>
      </c>
      <c r="S45" s="2" t="s">
        <v>60</v>
      </c>
      <c r="T45" s="6">
        <v>0</v>
      </c>
      <c r="U45" s="2" t="s">
        <v>61</v>
      </c>
      <c r="V45" s="2" t="s">
        <v>276</v>
      </c>
    </row>
    <row r="46" spans="1:22" ht="18" customHeight="1" x14ac:dyDescent="0.3">
      <c r="A46" s="2" t="s">
        <v>595</v>
      </c>
      <c r="B46" s="2" t="s">
        <v>167</v>
      </c>
      <c r="C46" s="2" t="s">
        <v>168</v>
      </c>
      <c r="D46" s="2" t="s">
        <v>1321</v>
      </c>
      <c r="E46" s="2" t="s">
        <v>54</v>
      </c>
      <c r="F46" s="2" t="s">
        <v>55</v>
      </c>
      <c r="G46" s="3">
        <v>46176.437141203707</v>
      </c>
      <c r="H46" s="3">
        <v>46176.543020833335</v>
      </c>
      <c r="I46" s="2" t="s">
        <v>275</v>
      </c>
      <c r="J46" s="2">
        <v>3</v>
      </c>
      <c r="K46" s="4" t="s">
        <v>596</v>
      </c>
      <c r="L46" s="2"/>
      <c r="M46" s="2"/>
      <c r="N46" s="2" t="s">
        <v>126</v>
      </c>
      <c r="O46" s="2" t="s">
        <v>126</v>
      </c>
      <c r="P46" s="2" t="s">
        <v>126</v>
      </c>
      <c r="Q46" s="2" t="s">
        <v>225</v>
      </c>
      <c r="R46" s="2" t="s">
        <v>126</v>
      </c>
      <c r="S46" s="2" t="s">
        <v>60</v>
      </c>
      <c r="T46" s="6">
        <v>0</v>
      </c>
      <c r="U46" s="2" t="s">
        <v>61</v>
      </c>
      <c r="V46" s="2" t="s">
        <v>276</v>
      </c>
    </row>
    <row r="47" spans="1:22" ht="18" customHeight="1" x14ac:dyDescent="0.3">
      <c r="A47" s="2" t="s">
        <v>597</v>
      </c>
      <c r="B47" s="2" t="s">
        <v>598</v>
      </c>
      <c r="C47" s="2" t="s">
        <v>599</v>
      </c>
      <c r="D47" s="2" t="s">
        <v>1318</v>
      </c>
      <c r="E47" s="2" t="s">
        <v>72</v>
      </c>
      <c r="F47" s="2" t="s">
        <v>55</v>
      </c>
      <c r="G47" s="3">
        <v>46176.44017361111</v>
      </c>
      <c r="H47" s="3">
        <v>46182.524560185186</v>
      </c>
      <c r="I47" s="2" t="s">
        <v>84</v>
      </c>
      <c r="J47" s="2">
        <v>2</v>
      </c>
      <c r="K47" s="2" t="s">
        <v>136</v>
      </c>
      <c r="L47" s="4" t="s">
        <v>600</v>
      </c>
      <c r="M47" s="2"/>
      <c r="N47" s="2" t="s">
        <v>102</v>
      </c>
      <c r="O47" s="2"/>
      <c r="P47" s="2" t="s">
        <v>86</v>
      </c>
      <c r="Q47" s="2" t="s">
        <v>87</v>
      </c>
      <c r="R47" s="2" t="s">
        <v>102</v>
      </c>
      <c r="S47" s="2" t="s">
        <v>60</v>
      </c>
      <c r="T47" s="5">
        <v>1.8347222222222221</v>
      </c>
      <c r="U47" s="2" t="s">
        <v>61</v>
      </c>
      <c r="V47" s="2" t="s">
        <v>62</v>
      </c>
    </row>
    <row r="48" spans="1:22" ht="18" customHeight="1" x14ac:dyDescent="0.3">
      <c r="A48" s="2" t="s">
        <v>601</v>
      </c>
      <c r="B48" s="2" t="s">
        <v>602</v>
      </c>
      <c r="C48" s="2" t="s">
        <v>603</v>
      </c>
      <c r="D48" s="2" t="s">
        <v>1320</v>
      </c>
      <c r="E48" s="2" t="s">
        <v>75</v>
      </c>
      <c r="F48" s="2" t="s">
        <v>55</v>
      </c>
      <c r="G48" s="3">
        <v>46176.450706018521</v>
      </c>
      <c r="H48" s="3">
        <v>46176.594895833332</v>
      </c>
      <c r="I48" s="2" t="s">
        <v>109</v>
      </c>
      <c r="J48" s="2">
        <v>2</v>
      </c>
      <c r="K48" s="4" t="s">
        <v>604</v>
      </c>
      <c r="L48" s="4" t="s">
        <v>132</v>
      </c>
      <c r="M48" s="2"/>
      <c r="N48" s="2" t="s">
        <v>110</v>
      </c>
      <c r="O48" s="2"/>
      <c r="P48" s="2" t="s">
        <v>119</v>
      </c>
      <c r="Q48" s="2" t="s">
        <v>111</v>
      </c>
      <c r="R48" s="2" t="s">
        <v>110</v>
      </c>
      <c r="S48" s="2" t="s">
        <v>60</v>
      </c>
      <c r="T48" s="6">
        <v>0.14444444444444443</v>
      </c>
      <c r="U48" s="2" t="s">
        <v>61</v>
      </c>
      <c r="V48" s="2" t="s">
        <v>62</v>
      </c>
    </row>
    <row r="49" spans="1:22" ht="18" customHeight="1" x14ac:dyDescent="0.3">
      <c r="A49" s="2" t="s">
        <v>605</v>
      </c>
      <c r="B49" s="2" t="s">
        <v>606</v>
      </c>
      <c r="C49" s="2" t="s">
        <v>607</v>
      </c>
      <c r="D49" s="2" t="s">
        <v>1320</v>
      </c>
      <c r="E49" s="2" t="s">
        <v>75</v>
      </c>
      <c r="F49" s="2" t="s">
        <v>55</v>
      </c>
      <c r="G49" s="3">
        <v>46176.452384259261</v>
      </c>
      <c r="H49" s="3">
        <v>46184.714814814812</v>
      </c>
      <c r="I49" s="2" t="s">
        <v>77</v>
      </c>
      <c r="J49" s="2">
        <v>3</v>
      </c>
      <c r="K49" s="2" t="s">
        <v>608</v>
      </c>
      <c r="L49" s="4" t="s">
        <v>609</v>
      </c>
      <c r="M49" s="2"/>
      <c r="N49" s="2" t="s">
        <v>81</v>
      </c>
      <c r="O49" s="2"/>
      <c r="P49" s="2" t="s">
        <v>78</v>
      </c>
      <c r="Q49" s="2" t="s">
        <v>107</v>
      </c>
      <c r="R49" s="2" t="s">
        <v>81</v>
      </c>
      <c r="S49" s="2" t="s">
        <v>60</v>
      </c>
      <c r="T49" s="5">
        <v>2.8875000000000002</v>
      </c>
      <c r="U49" s="2" t="s">
        <v>61</v>
      </c>
      <c r="V49" s="2" t="s">
        <v>62</v>
      </c>
    </row>
    <row r="50" spans="1:22" ht="18" customHeight="1" x14ac:dyDescent="0.3">
      <c r="A50" s="2" t="s">
        <v>610</v>
      </c>
      <c r="B50" s="2" t="s">
        <v>611</v>
      </c>
      <c r="C50" s="2" t="s">
        <v>612</v>
      </c>
      <c r="D50" s="2" t="s">
        <v>1319</v>
      </c>
      <c r="E50" s="2" t="s">
        <v>66</v>
      </c>
      <c r="F50" s="2" t="s">
        <v>76</v>
      </c>
      <c r="G50" s="3">
        <v>46176.466180555559</v>
      </c>
      <c r="H50" s="3">
        <v>46177.37096064815</v>
      </c>
      <c r="I50" s="2" t="s">
        <v>150</v>
      </c>
      <c r="J50" s="2">
        <v>2</v>
      </c>
      <c r="K50" s="2" t="s">
        <v>613</v>
      </c>
      <c r="L50" s="4" t="s">
        <v>614</v>
      </c>
      <c r="M50" s="2"/>
      <c r="N50" s="2" t="s">
        <v>137</v>
      </c>
      <c r="O50" s="2"/>
      <c r="P50" s="2" t="s">
        <v>137</v>
      </c>
      <c r="Q50" s="2" t="s">
        <v>151</v>
      </c>
      <c r="R50" s="2" t="s">
        <v>137</v>
      </c>
      <c r="S50" s="2" t="s">
        <v>60</v>
      </c>
      <c r="T50" s="6">
        <v>0.34236111111111112</v>
      </c>
      <c r="U50" s="2" t="s">
        <v>61</v>
      </c>
      <c r="V50" s="2" t="s">
        <v>62</v>
      </c>
    </row>
    <row r="51" spans="1:22" ht="18" customHeight="1" x14ac:dyDescent="0.3">
      <c r="A51" s="2" t="s">
        <v>615</v>
      </c>
      <c r="B51" s="2" t="s">
        <v>616</v>
      </c>
      <c r="C51" s="2" t="s">
        <v>617</v>
      </c>
      <c r="D51" s="2" t="s">
        <v>1149</v>
      </c>
      <c r="E51" s="2" t="s">
        <v>54</v>
      </c>
      <c r="F51" s="2" t="s">
        <v>55</v>
      </c>
      <c r="G51" s="3">
        <v>46176.468842592592</v>
      </c>
      <c r="H51" s="3">
        <v>46198.387858796297</v>
      </c>
      <c r="I51" s="2" t="s">
        <v>118</v>
      </c>
      <c r="J51" s="2">
        <v>3</v>
      </c>
      <c r="K51" s="4" t="s">
        <v>618</v>
      </c>
      <c r="L51" s="4" t="s">
        <v>619</v>
      </c>
      <c r="M51" s="2"/>
      <c r="N51" s="2" t="s">
        <v>78</v>
      </c>
      <c r="O51" s="2"/>
      <c r="P51" s="2" t="s">
        <v>78</v>
      </c>
      <c r="Q51" s="2" t="s">
        <v>103</v>
      </c>
      <c r="R51" s="2" t="s">
        <v>78</v>
      </c>
      <c r="S51" s="2" t="s">
        <v>60</v>
      </c>
      <c r="T51" s="5">
        <v>2.838888888888889</v>
      </c>
      <c r="U51" s="2" t="s">
        <v>61</v>
      </c>
      <c r="V51" s="2" t="s">
        <v>62</v>
      </c>
    </row>
    <row r="52" spans="1:22" ht="18" customHeight="1" x14ac:dyDescent="0.3">
      <c r="A52" s="2" t="s">
        <v>620</v>
      </c>
      <c r="B52" s="2" t="s">
        <v>621</v>
      </c>
      <c r="C52" s="2" t="s">
        <v>622</v>
      </c>
      <c r="D52" s="2" t="s">
        <v>1318</v>
      </c>
      <c r="E52" s="2" t="s">
        <v>72</v>
      </c>
      <c r="F52" s="2" t="s">
        <v>55</v>
      </c>
      <c r="G52" s="3">
        <v>46176.5153125</v>
      </c>
      <c r="H52" s="3">
        <v>46196.484236111108</v>
      </c>
      <c r="I52" s="2" t="s">
        <v>77</v>
      </c>
      <c r="J52" s="2">
        <v>3</v>
      </c>
      <c r="K52" s="2" t="s">
        <v>623</v>
      </c>
      <c r="L52" s="4" t="s">
        <v>624</v>
      </c>
      <c r="M52" s="2"/>
      <c r="N52" s="2" t="s">
        <v>81</v>
      </c>
      <c r="O52" s="2"/>
      <c r="P52" s="2" t="s">
        <v>78</v>
      </c>
      <c r="Q52" s="2" t="s">
        <v>94</v>
      </c>
      <c r="R52" s="2" t="s">
        <v>81</v>
      </c>
      <c r="S52" s="2" t="s">
        <v>60</v>
      </c>
      <c r="T52" s="5">
        <v>6.0944444444444441</v>
      </c>
      <c r="U52" s="2" t="s">
        <v>61</v>
      </c>
      <c r="V52" s="2" t="s">
        <v>62</v>
      </c>
    </row>
    <row r="53" spans="1:22" ht="18" customHeight="1" x14ac:dyDescent="0.3">
      <c r="A53" s="2" t="s">
        <v>625</v>
      </c>
      <c r="B53" s="2" t="s">
        <v>626</v>
      </c>
      <c r="C53" s="2" t="s">
        <v>627</v>
      </c>
      <c r="D53" s="2" t="s">
        <v>1319</v>
      </c>
      <c r="E53" s="2" t="s">
        <v>66</v>
      </c>
      <c r="F53" s="2" t="s">
        <v>67</v>
      </c>
      <c r="G53" s="3">
        <v>46176.537141203706</v>
      </c>
      <c r="H53" s="3">
        <v>46178.689976851849</v>
      </c>
      <c r="I53" s="2" t="s">
        <v>97</v>
      </c>
      <c r="J53" s="2">
        <v>2</v>
      </c>
      <c r="K53" s="2" t="s">
        <v>628</v>
      </c>
      <c r="L53" s="2"/>
      <c r="M53" s="2"/>
      <c r="N53" s="2" t="s">
        <v>105</v>
      </c>
      <c r="O53" s="2"/>
      <c r="P53" s="2" t="s">
        <v>98</v>
      </c>
      <c r="Q53" s="2" t="s">
        <v>106</v>
      </c>
      <c r="R53" s="2" t="s">
        <v>105</v>
      </c>
      <c r="S53" s="2" t="s">
        <v>60</v>
      </c>
      <c r="T53" s="5">
        <v>1.0284722222222222</v>
      </c>
      <c r="U53" s="2" t="s">
        <v>61</v>
      </c>
      <c r="V53" s="2" t="s">
        <v>62</v>
      </c>
    </row>
    <row r="54" spans="1:22" ht="18" customHeight="1" x14ac:dyDescent="0.3">
      <c r="A54" s="2" t="s">
        <v>629</v>
      </c>
      <c r="B54" s="2" t="s">
        <v>267</v>
      </c>
      <c r="C54" s="2" t="s">
        <v>268</v>
      </c>
      <c r="D54" s="2" t="s">
        <v>1321</v>
      </c>
      <c r="E54" s="2" t="s">
        <v>54</v>
      </c>
      <c r="F54" s="2" t="s">
        <v>55</v>
      </c>
      <c r="G54" s="3">
        <v>46176.631527777776</v>
      </c>
      <c r="H54" s="2"/>
      <c r="I54" s="2" t="s">
        <v>100</v>
      </c>
      <c r="J54" s="2">
        <v>3</v>
      </c>
      <c r="K54" s="2" t="s">
        <v>630</v>
      </c>
      <c r="L54" s="4" t="s">
        <v>631</v>
      </c>
      <c r="M54" s="2"/>
      <c r="N54" s="2" t="s">
        <v>71</v>
      </c>
      <c r="O54" s="2" t="s">
        <v>632</v>
      </c>
      <c r="P54" s="2"/>
      <c r="Q54" s="2"/>
      <c r="R54" s="2" t="s">
        <v>71</v>
      </c>
      <c r="S54" s="2" t="s">
        <v>92</v>
      </c>
      <c r="T54" s="6">
        <v>0</v>
      </c>
      <c r="U54" s="2" t="s">
        <v>117</v>
      </c>
      <c r="V54" s="2" t="s">
        <v>189</v>
      </c>
    </row>
    <row r="55" spans="1:22" ht="18" customHeight="1" x14ac:dyDescent="0.3">
      <c r="A55" s="2" t="s">
        <v>633</v>
      </c>
      <c r="B55" s="2" t="s">
        <v>267</v>
      </c>
      <c r="C55" s="2" t="s">
        <v>268</v>
      </c>
      <c r="D55" s="2" t="s">
        <v>1321</v>
      </c>
      <c r="E55" s="2" t="s">
        <v>54</v>
      </c>
      <c r="F55" s="2" t="s">
        <v>55</v>
      </c>
      <c r="G55" s="3">
        <v>46176.639976851853</v>
      </c>
      <c r="H55" s="2"/>
      <c r="I55" s="2" t="s">
        <v>100</v>
      </c>
      <c r="J55" s="2">
        <v>3</v>
      </c>
      <c r="K55" s="2" t="s">
        <v>634</v>
      </c>
      <c r="L55" s="4" t="s">
        <v>635</v>
      </c>
      <c r="M55" s="2"/>
      <c r="N55" s="2" t="s">
        <v>71</v>
      </c>
      <c r="O55" s="2" t="s">
        <v>632</v>
      </c>
      <c r="P55" s="2"/>
      <c r="Q55" s="2"/>
      <c r="R55" s="2" t="s">
        <v>71</v>
      </c>
      <c r="S55" s="2" t="s">
        <v>92</v>
      </c>
      <c r="T55" s="6">
        <v>0</v>
      </c>
      <c r="U55" s="2" t="s">
        <v>117</v>
      </c>
      <c r="V55" s="2" t="s">
        <v>189</v>
      </c>
    </row>
    <row r="56" spans="1:22" ht="18" customHeight="1" x14ac:dyDescent="0.3">
      <c r="A56" s="2" t="s">
        <v>638</v>
      </c>
      <c r="B56" s="2" t="s">
        <v>267</v>
      </c>
      <c r="C56" s="2" t="s">
        <v>268</v>
      </c>
      <c r="D56" s="2" t="s">
        <v>1321</v>
      </c>
      <c r="E56" s="2" t="s">
        <v>54</v>
      </c>
      <c r="F56" s="2" t="s">
        <v>55</v>
      </c>
      <c r="G56" s="3">
        <v>46176.64271990741</v>
      </c>
      <c r="H56" s="2"/>
      <c r="I56" s="2" t="s">
        <v>100</v>
      </c>
      <c r="J56" s="2">
        <v>3</v>
      </c>
      <c r="K56" s="2" t="s">
        <v>639</v>
      </c>
      <c r="L56" s="4" t="s">
        <v>640</v>
      </c>
      <c r="M56" s="2"/>
      <c r="N56" s="2" t="s">
        <v>71</v>
      </c>
      <c r="O56" s="2" t="s">
        <v>632</v>
      </c>
      <c r="P56" s="2"/>
      <c r="Q56" s="2"/>
      <c r="R56" s="2" t="s">
        <v>71</v>
      </c>
      <c r="S56" s="2" t="s">
        <v>92</v>
      </c>
      <c r="T56" s="6">
        <v>0</v>
      </c>
      <c r="U56" s="2" t="s">
        <v>117</v>
      </c>
      <c r="V56" s="2" t="s">
        <v>189</v>
      </c>
    </row>
    <row r="57" spans="1:22" ht="18" customHeight="1" x14ac:dyDescent="0.3">
      <c r="A57" s="2" t="s">
        <v>641</v>
      </c>
      <c r="B57" s="2" t="s">
        <v>267</v>
      </c>
      <c r="C57" s="2" t="s">
        <v>268</v>
      </c>
      <c r="D57" s="2" t="s">
        <v>1321</v>
      </c>
      <c r="E57" s="2" t="s">
        <v>54</v>
      </c>
      <c r="F57" s="2" t="s">
        <v>55</v>
      </c>
      <c r="G57" s="3">
        <v>46176.658125000002</v>
      </c>
      <c r="H57" s="2"/>
      <c r="I57" s="2" t="s">
        <v>100</v>
      </c>
      <c r="J57" s="2">
        <v>3</v>
      </c>
      <c r="K57" s="2" t="s">
        <v>642</v>
      </c>
      <c r="L57" s="4" t="s">
        <v>643</v>
      </c>
      <c r="M57" s="2"/>
      <c r="N57" s="2" t="s">
        <v>71</v>
      </c>
      <c r="O57" s="2" t="s">
        <v>632</v>
      </c>
      <c r="P57" s="2"/>
      <c r="Q57" s="2"/>
      <c r="R57" s="2" t="s">
        <v>71</v>
      </c>
      <c r="S57" s="2" t="s">
        <v>92</v>
      </c>
      <c r="T57" s="6">
        <v>0</v>
      </c>
      <c r="U57" s="2" t="s">
        <v>117</v>
      </c>
      <c r="V57" s="2" t="s">
        <v>189</v>
      </c>
    </row>
    <row r="58" spans="1:22" ht="18" customHeight="1" x14ac:dyDescent="0.3">
      <c r="A58" s="2" t="s">
        <v>644</v>
      </c>
      <c r="B58" s="2" t="s">
        <v>267</v>
      </c>
      <c r="C58" s="2" t="s">
        <v>268</v>
      </c>
      <c r="D58" s="2" t="s">
        <v>1321</v>
      </c>
      <c r="E58" s="2" t="s">
        <v>54</v>
      </c>
      <c r="F58" s="2" t="s">
        <v>55</v>
      </c>
      <c r="G58" s="3">
        <v>46176.660914351851</v>
      </c>
      <c r="H58" s="2"/>
      <c r="I58" s="2" t="s">
        <v>100</v>
      </c>
      <c r="J58" s="2">
        <v>3</v>
      </c>
      <c r="K58" s="2" t="s">
        <v>645</v>
      </c>
      <c r="L58" s="4" t="s">
        <v>646</v>
      </c>
      <c r="M58" s="2"/>
      <c r="N58" s="2" t="s">
        <v>71</v>
      </c>
      <c r="O58" s="2" t="s">
        <v>632</v>
      </c>
      <c r="P58" s="2"/>
      <c r="Q58" s="2"/>
      <c r="R58" s="2" t="s">
        <v>71</v>
      </c>
      <c r="S58" s="2" t="s">
        <v>92</v>
      </c>
      <c r="T58" s="6">
        <v>0</v>
      </c>
      <c r="U58" s="2" t="s">
        <v>117</v>
      </c>
      <c r="V58" s="2" t="s">
        <v>189</v>
      </c>
    </row>
    <row r="59" spans="1:22" ht="18" customHeight="1" x14ac:dyDescent="0.3">
      <c r="A59" s="2" t="s">
        <v>647</v>
      </c>
      <c r="B59" s="2" t="s">
        <v>267</v>
      </c>
      <c r="C59" s="2" t="s">
        <v>268</v>
      </c>
      <c r="D59" s="2" t="s">
        <v>1321</v>
      </c>
      <c r="E59" s="2" t="s">
        <v>54</v>
      </c>
      <c r="F59" s="2" t="s">
        <v>55</v>
      </c>
      <c r="G59" s="3">
        <v>46176.666076388887</v>
      </c>
      <c r="H59" s="2"/>
      <c r="I59" s="2" t="s">
        <v>100</v>
      </c>
      <c r="J59" s="2">
        <v>3</v>
      </c>
      <c r="K59" s="2" t="s">
        <v>648</v>
      </c>
      <c r="L59" s="4" t="s">
        <v>649</v>
      </c>
      <c r="M59" s="2"/>
      <c r="N59" s="2" t="s">
        <v>71</v>
      </c>
      <c r="O59" s="2" t="s">
        <v>632</v>
      </c>
      <c r="P59" s="2"/>
      <c r="Q59" s="2"/>
      <c r="R59" s="2" t="s">
        <v>71</v>
      </c>
      <c r="S59" s="2" t="s">
        <v>92</v>
      </c>
      <c r="T59" s="6">
        <v>0</v>
      </c>
      <c r="U59" s="2" t="s">
        <v>117</v>
      </c>
      <c r="V59" s="2" t="s">
        <v>189</v>
      </c>
    </row>
    <row r="60" spans="1:22" ht="18" customHeight="1" x14ac:dyDescent="0.3">
      <c r="A60" s="2" t="s">
        <v>650</v>
      </c>
      <c r="B60" s="2" t="s">
        <v>295</v>
      </c>
      <c r="C60" s="2" t="s">
        <v>296</v>
      </c>
      <c r="D60" s="2" t="s">
        <v>1321</v>
      </c>
      <c r="E60" s="2" t="s">
        <v>54</v>
      </c>
      <c r="F60" s="2" t="s">
        <v>55</v>
      </c>
      <c r="G60" s="3">
        <v>46176.682453703703</v>
      </c>
      <c r="H60" s="2"/>
      <c r="I60" s="2" t="s">
        <v>95</v>
      </c>
      <c r="J60" s="2">
        <v>3</v>
      </c>
      <c r="K60" s="2" t="s">
        <v>96</v>
      </c>
      <c r="L60" s="2"/>
      <c r="M60" s="2"/>
      <c r="N60" s="2" t="s">
        <v>209</v>
      </c>
      <c r="O60" s="2" t="s">
        <v>78</v>
      </c>
      <c r="P60" s="2"/>
      <c r="Q60" s="2"/>
      <c r="R60" s="2" t="s">
        <v>209</v>
      </c>
      <c r="S60" s="2" t="s">
        <v>92</v>
      </c>
      <c r="T60" s="6">
        <v>0</v>
      </c>
      <c r="U60" s="2" t="s">
        <v>117</v>
      </c>
      <c r="V60" s="2" t="s">
        <v>62</v>
      </c>
    </row>
    <row r="61" spans="1:22" ht="18" customHeight="1" x14ac:dyDescent="0.3">
      <c r="A61" s="2" t="s">
        <v>651</v>
      </c>
      <c r="B61" s="2" t="s">
        <v>163</v>
      </c>
      <c r="C61" s="2" t="s">
        <v>164</v>
      </c>
      <c r="D61" s="2" t="s">
        <v>1321</v>
      </c>
      <c r="E61" s="2" t="s">
        <v>54</v>
      </c>
      <c r="F61" s="2" t="s">
        <v>55</v>
      </c>
      <c r="G61" s="3">
        <v>46177.381666666668</v>
      </c>
      <c r="H61" s="3">
        <v>46191.457453703704</v>
      </c>
      <c r="I61" s="2" t="s">
        <v>77</v>
      </c>
      <c r="J61" s="2">
        <v>3</v>
      </c>
      <c r="K61" s="2" t="s">
        <v>652</v>
      </c>
      <c r="L61" s="4" t="s">
        <v>653</v>
      </c>
      <c r="M61" s="2"/>
      <c r="N61" s="2" t="s">
        <v>78</v>
      </c>
      <c r="O61" s="2"/>
      <c r="P61" s="2" t="s">
        <v>78</v>
      </c>
      <c r="Q61" s="2" t="s">
        <v>103</v>
      </c>
      <c r="R61" s="2" t="s">
        <v>78</v>
      </c>
      <c r="S61" s="2" t="s">
        <v>60</v>
      </c>
      <c r="T61" s="5">
        <v>4.4513888888888893</v>
      </c>
      <c r="U61" s="2" t="s">
        <v>61</v>
      </c>
      <c r="V61" s="2" t="s">
        <v>62</v>
      </c>
    </row>
    <row r="62" spans="1:22" ht="18" customHeight="1" x14ac:dyDescent="0.3">
      <c r="A62" s="2" t="s">
        <v>654</v>
      </c>
      <c r="B62" s="2" t="s">
        <v>80</v>
      </c>
      <c r="C62" s="2" t="s">
        <v>655</v>
      </c>
      <c r="D62" s="2" t="s">
        <v>1321</v>
      </c>
      <c r="E62" s="2" t="s">
        <v>54</v>
      </c>
      <c r="F62" s="2" t="s">
        <v>67</v>
      </c>
      <c r="G62" s="3">
        <v>46177.38921296296</v>
      </c>
      <c r="H62" s="3">
        <v>46178.688240740739</v>
      </c>
      <c r="I62" s="2" t="s">
        <v>63</v>
      </c>
      <c r="J62" s="2">
        <v>3</v>
      </c>
      <c r="K62" s="2" t="s">
        <v>656</v>
      </c>
      <c r="L62" s="4" t="s">
        <v>657</v>
      </c>
      <c r="M62" s="2"/>
      <c r="N62" s="2" t="s">
        <v>58</v>
      </c>
      <c r="O62" s="2"/>
      <c r="P62" s="2" t="s">
        <v>58</v>
      </c>
      <c r="Q62" s="2" t="s">
        <v>65</v>
      </c>
      <c r="R62" s="2" t="s">
        <v>58</v>
      </c>
      <c r="S62" s="2" t="s">
        <v>60</v>
      </c>
      <c r="T62" s="6">
        <v>0.75763888888888886</v>
      </c>
      <c r="U62" s="2" t="s">
        <v>61</v>
      </c>
      <c r="V62" s="2" t="s">
        <v>62</v>
      </c>
    </row>
    <row r="63" spans="1:22" ht="18" customHeight="1" x14ac:dyDescent="0.3">
      <c r="A63" s="2" t="s">
        <v>658</v>
      </c>
      <c r="B63" s="2" t="s">
        <v>167</v>
      </c>
      <c r="C63" s="2" t="s">
        <v>168</v>
      </c>
      <c r="D63" s="2" t="s">
        <v>1321</v>
      </c>
      <c r="E63" s="2" t="s">
        <v>54</v>
      </c>
      <c r="F63" s="2" t="s">
        <v>55</v>
      </c>
      <c r="G63" s="3">
        <v>46177.453761574077</v>
      </c>
      <c r="H63" s="3">
        <v>46178.378229166665</v>
      </c>
      <c r="I63" s="2" t="s">
        <v>275</v>
      </c>
      <c r="J63" s="2">
        <v>3</v>
      </c>
      <c r="K63" s="4" t="s">
        <v>659</v>
      </c>
      <c r="L63" s="2"/>
      <c r="M63" s="2"/>
      <c r="N63" s="2" t="s">
        <v>126</v>
      </c>
      <c r="O63" s="2" t="s">
        <v>126</v>
      </c>
      <c r="P63" s="2" t="s">
        <v>126</v>
      </c>
      <c r="Q63" s="2" t="s">
        <v>225</v>
      </c>
      <c r="R63" s="2" t="s">
        <v>126</v>
      </c>
      <c r="S63" s="2" t="s">
        <v>60</v>
      </c>
      <c r="T63" s="6">
        <v>0</v>
      </c>
      <c r="U63" s="2" t="s">
        <v>61</v>
      </c>
      <c r="V63" s="2" t="s">
        <v>276</v>
      </c>
    </row>
    <row r="64" spans="1:22" ht="18" customHeight="1" x14ac:dyDescent="0.3">
      <c r="A64" s="2" t="s">
        <v>660</v>
      </c>
      <c r="B64" s="2" t="s">
        <v>661</v>
      </c>
      <c r="C64" s="2" t="s">
        <v>662</v>
      </c>
      <c r="D64" s="2" t="s">
        <v>1319</v>
      </c>
      <c r="E64" s="2" t="s">
        <v>66</v>
      </c>
      <c r="F64" s="2" t="s">
        <v>76</v>
      </c>
      <c r="G64" s="3">
        <v>46177.463043981479</v>
      </c>
      <c r="H64" s="3">
        <v>46178.540706018517</v>
      </c>
      <c r="I64" s="2" t="s">
        <v>97</v>
      </c>
      <c r="J64" s="2">
        <v>2</v>
      </c>
      <c r="K64" s="2" t="s">
        <v>663</v>
      </c>
      <c r="L64" s="2"/>
      <c r="M64" s="2"/>
      <c r="N64" s="2" t="s">
        <v>105</v>
      </c>
      <c r="O64" s="2"/>
      <c r="P64" s="2" t="s">
        <v>98</v>
      </c>
      <c r="Q64" s="2" t="s">
        <v>664</v>
      </c>
      <c r="R64" s="2" t="s">
        <v>105</v>
      </c>
      <c r="S64" s="2" t="s">
        <v>60</v>
      </c>
      <c r="T64" s="6">
        <v>0.51527777777777772</v>
      </c>
      <c r="U64" s="2" t="s">
        <v>61</v>
      </c>
      <c r="V64" s="2" t="s">
        <v>62</v>
      </c>
    </row>
    <row r="65" spans="1:22" ht="18" customHeight="1" x14ac:dyDescent="0.3">
      <c r="A65" s="2" t="s">
        <v>665</v>
      </c>
      <c r="B65" s="2" t="s">
        <v>273</v>
      </c>
      <c r="C65" s="2" t="s">
        <v>274</v>
      </c>
      <c r="D65" s="2" t="s">
        <v>1319</v>
      </c>
      <c r="E65" s="2" t="s">
        <v>66</v>
      </c>
      <c r="F65" s="2" t="s">
        <v>67</v>
      </c>
      <c r="G65" s="3">
        <v>46177.478761574072</v>
      </c>
      <c r="H65" s="3">
        <v>46178.690335648149</v>
      </c>
      <c r="I65" s="2" t="s">
        <v>77</v>
      </c>
      <c r="J65" s="2">
        <v>2</v>
      </c>
      <c r="K65" s="2" t="s">
        <v>666</v>
      </c>
      <c r="L65" s="4" t="s">
        <v>667</v>
      </c>
      <c r="M65" s="2"/>
      <c r="N65" s="2" t="s">
        <v>78</v>
      </c>
      <c r="O65" s="2"/>
      <c r="P65" s="2" t="s">
        <v>79</v>
      </c>
      <c r="Q65" s="2" t="s">
        <v>80</v>
      </c>
      <c r="R65" s="2" t="s">
        <v>78</v>
      </c>
      <c r="S65" s="2" t="s">
        <v>60</v>
      </c>
      <c r="T65" s="6">
        <v>0.64930555555555558</v>
      </c>
      <c r="U65" s="2" t="s">
        <v>61</v>
      </c>
      <c r="V65" s="2" t="s">
        <v>62</v>
      </c>
    </row>
    <row r="66" spans="1:22" ht="18" customHeight="1" x14ac:dyDescent="0.3">
      <c r="A66" s="2" t="s">
        <v>668</v>
      </c>
      <c r="B66" s="2" t="s">
        <v>669</v>
      </c>
      <c r="C66" s="2" t="s">
        <v>670</v>
      </c>
      <c r="D66" s="2" t="s">
        <v>1149</v>
      </c>
      <c r="E66" s="2" t="s">
        <v>54</v>
      </c>
      <c r="F66" s="2" t="s">
        <v>55</v>
      </c>
      <c r="G66" s="3">
        <v>46177.658518518518</v>
      </c>
      <c r="H66" s="3">
        <v>46182.370833333334</v>
      </c>
      <c r="I66" s="2" t="s">
        <v>77</v>
      </c>
      <c r="J66" s="2">
        <v>3</v>
      </c>
      <c r="K66" s="2" t="s">
        <v>671</v>
      </c>
      <c r="L66" s="4" t="s">
        <v>672</v>
      </c>
      <c r="M66" s="2"/>
      <c r="N66" s="2" t="s">
        <v>81</v>
      </c>
      <c r="O66" s="2"/>
      <c r="P66" s="2" t="s">
        <v>78</v>
      </c>
      <c r="Q66" s="2" t="s">
        <v>94</v>
      </c>
      <c r="R66" s="2" t="s">
        <v>81</v>
      </c>
      <c r="S66" s="2" t="s">
        <v>60</v>
      </c>
      <c r="T66" s="5">
        <v>1.0249999999999999</v>
      </c>
      <c r="U66" s="2" t="s">
        <v>61</v>
      </c>
      <c r="V66" s="2" t="s">
        <v>62</v>
      </c>
    </row>
    <row r="67" spans="1:22" ht="18" customHeight="1" x14ac:dyDescent="0.3">
      <c r="A67" s="2" t="s">
        <v>673</v>
      </c>
      <c r="B67" s="2" t="s">
        <v>381</v>
      </c>
      <c r="C67" s="2" t="s">
        <v>382</v>
      </c>
      <c r="D67" s="2" t="s">
        <v>1319</v>
      </c>
      <c r="E67" s="2" t="s">
        <v>66</v>
      </c>
      <c r="F67" s="2" t="s">
        <v>76</v>
      </c>
      <c r="G67" s="3">
        <v>46177.702430555553</v>
      </c>
      <c r="H67" s="3">
        <v>46183.419328703705</v>
      </c>
      <c r="I67" s="2" t="s">
        <v>97</v>
      </c>
      <c r="J67" s="2">
        <v>3</v>
      </c>
      <c r="K67" s="2" t="s">
        <v>674</v>
      </c>
      <c r="L67" s="4" t="s">
        <v>675</v>
      </c>
      <c r="M67" s="2"/>
      <c r="N67" s="2" t="s">
        <v>105</v>
      </c>
      <c r="O67" s="2"/>
      <c r="P67" s="2" t="s">
        <v>98</v>
      </c>
      <c r="Q67" s="2" t="s">
        <v>106</v>
      </c>
      <c r="R67" s="2" t="s">
        <v>105</v>
      </c>
      <c r="S67" s="2" t="s">
        <v>60</v>
      </c>
      <c r="T67" s="5">
        <v>1.4673611111111111</v>
      </c>
      <c r="U67" s="2" t="s">
        <v>61</v>
      </c>
      <c r="V67" s="2" t="s">
        <v>62</v>
      </c>
    </row>
    <row r="68" spans="1:22" ht="18" customHeight="1" x14ac:dyDescent="0.3">
      <c r="A68" s="2" t="s">
        <v>676</v>
      </c>
      <c r="B68" s="2" t="s">
        <v>381</v>
      </c>
      <c r="C68" s="2" t="s">
        <v>382</v>
      </c>
      <c r="D68" s="2" t="s">
        <v>1319</v>
      </c>
      <c r="E68" s="2" t="s">
        <v>66</v>
      </c>
      <c r="F68" s="2" t="s">
        <v>76</v>
      </c>
      <c r="G68" s="3">
        <v>46177.706828703704</v>
      </c>
      <c r="H68" s="3">
        <v>46183.419178240743</v>
      </c>
      <c r="I68" s="2" t="s">
        <v>97</v>
      </c>
      <c r="J68" s="2">
        <v>3</v>
      </c>
      <c r="K68" s="2" t="s">
        <v>677</v>
      </c>
      <c r="L68" s="4" t="s">
        <v>678</v>
      </c>
      <c r="M68" s="2"/>
      <c r="N68" s="2" t="s">
        <v>105</v>
      </c>
      <c r="O68" s="2"/>
      <c r="P68" s="2" t="s">
        <v>98</v>
      </c>
      <c r="Q68" s="2" t="s">
        <v>106</v>
      </c>
      <c r="R68" s="2" t="s">
        <v>105</v>
      </c>
      <c r="S68" s="2" t="s">
        <v>60</v>
      </c>
      <c r="T68" s="5">
        <v>1.4624999999999999</v>
      </c>
      <c r="U68" s="2" t="s">
        <v>61</v>
      </c>
      <c r="V68" s="2" t="s">
        <v>62</v>
      </c>
    </row>
    <row r="69" spans="1:22" ht="18" customHeight="1" x14ac:dyDescent="0.3">
      <c r="A69" s="2" t="s">
        <v>679</v>
      </c>
      <c r="B69" s="2" t="s">
        <v>680</v>
      </c>
      <c r="C69" s="2" t="s">
        <v>681</v>
      </c>
      <c r="D69" s="2" t="s">
        <v>1319</v>
      </c>
      <c r="E69" s="2" t="s">
        <v>66</v>
      </c>
      <c r="F69" s="2" t="s">
        <v>76</v>
      </c>
      <c r="G69" s="3">
        <v>46178.368576388886</v>
      </c>
      <c r="H69" s="3">
        <v>46184.653981481482</v>
      </c>
      <c r="I69" s="2" t="s">
        <v>88</v>
      </c>
      <c r="J69" s="2">
        <v>3</v>
      </c>
      <c r="K69" s="2" t="s">
        <v>682</v>
      </c>
      <c r="L69" s="4" t="s">
        <v>683</v>
      </c>
      <c r="M69" s="2"/>
      <c r="N69" s="2" t="s">
        <v>81</v>
      </c>
      <c r="O69" s="2"/>
      <c r="P69" s="2" t="s">
        <v>81</v>
      </c>
      <c r="Q69" s="2" t="s">
        <v>89</v>
      </c>
      <c r="R69" s="2" t="s">
        <v>81</v>
      </c>
      <c r="S69" s="2" t="s">
        <v>60</v>
      </c>
      <c r="T69" s="5">
        <v>2.0354166666666669</v>
      </c>
      <c r="U69" s="2" t="s">
        <v>61</v>
      </c>
      <c r="V69" s="2" t="s">
        <v>62</v>
      </c>
    </row>
    <row r="70" spans="1:22" ht="18" customHeight="1" x14ac:dyDescent="0.3">
      <c r="A70" s="2" t="s">
        <v>684</v>
      </c>
      <c r="B70" s="2" t="s">
        <v>685</v>
      </c>
      <c r="C70" s="2" t="s">
        <v>686</v>
      </c>
      <c r="D70" s="2" t="s">
        <v>1319</v>
      </c>
      <c r="E70" s="2" t="s">
        <v>66</v>
      </c>
      <c r="F70" s="2" t="s">
        <v>67</v>
      </c>
      <c r="G70" s="3">
        <v>46178.405810185184</v>
      </c>
      <c r="H70" s="3">
        <v>46206.435972222222</v>
      </c>
      <c r="I70" s="2" t="s">
        <v>150</v>
      </c>
      <c r="J70" s="2">
        <v>2</v>
      </c>
      <c r="K70" s="2" t="s">
        <v>687</v>
      </c>
      <c r="L70" s="4" t="s">
        <v>688</v>
      </c>
      <c r="M70" s="2"/>
      <c r="N70" s="2" t="s">
        <v>137</v>
      </c>
      <c r="O70" s="2"/>
      <c r="P70" s="2" t="s">
        <v>689</v>
      </c>
      <c r="Q70" s="2" t="s">
        <v>151</v>
      </c>
      <c r="R70" s="2" t="s">
        <v>137</v>
      </c>
      <c r="S70" s="2" t="s">
        <v>60</v>
      </c>
      <c r="T70" s="5">
        <v>8.780555555555555</v>
      </c>
      <c r="U70" s="2" t="s">
        <v>108</v>
      </c>
      <c r="V70" s="2" t="s">
        <v>62</v>
      </c>
    </row>
    <row r="71" spans="1:22" ht="18" customHeight="1" x14ac:dyDescent="0.3">
      <c r="A71" s="2" t="s">
        <v>690</v>
      </c>
      <c r="B71" s="2" t="s">
        <v>691</v>
      </c>
      <c r="C71" s="2" t="s">
        <v>692</v>
      </c>
      <c r="D71" s="2" t="s">
        <v>1319</v>
      </c>
      <c r="E71" s="2" t="s">
        <v>66</v>
      </c>
      <c r="F71" s="2" t="s">
        <v>76</v>
      </c>
      <c r="G71" s="3">
        <v>46178.427372685182</v>
      </c>
      <c r="H71" s="3">
        <v>46192.66684027778</v>
      </c>
      <c r="I71" s="2" t="s">
        <v>77</v>
      </c>
      <c r="J71" s="2">
        <v>3</v>
      </c>
      <c r="K71" s="2" t="s">
        <v>693</v>
      </c>
      <c r="L71" s="4" t="s">
        <v>694</v>
      </c>
      <c r="M71" s="2"/>
      <c r="N71" s="2" t="s">
        <v>81</v>
      </c>
      <c r="O71" s="2"/>
      <c r="P71" s="2" t="s">
        <v>81</v>
      </c>
      <c r="Q71" s="2" t="s">
        <v>90</v>
      </c>
      <c r="R71" s="2" t="s">
        <v>81</v>
      </c>
      <c r="S71" s="2" t="s">
        <v>60</v>
      </c>
      <c r="T71" s="5">
        <v>4.614583333333333</v>
      </c>
      <c r="U71" s="2" t="s">
        <v>61</v>
      </c>
      <c r="V71" s="2" t="s">
        <v>62</v>
      </c>
    </row>
    <row r="72" spans="1:22" ht="18" customHeight="1" x14ac:dyDescent="0.3">
      <c r="A72" s="2" t="s">
        <v>695</v>
      </c>
      <c r="B72" s="2" t="s">
        <v>269</v>
      </c>
      <c r="C72" s="2" t="s">
        <v>270</v>
      </c>
      <c r="D72" s="2" t="s">
        <v>1142</v>
      </c>
      <c r="E72" s="2" t="s">
        <v>72</v>
      </c>
      <c r="F72" s="2" t="s">
        <v>55</v>
      </c>
      <c r="G72" s="3">
        <v>46178.469652777778</v>
      </c>
      <c r="H72" s="3">
        <v>46182.370115740741</v>
      </c>
      <c r="I72" s="2" t="s">
        <v>99</v>
      </c>
      <c r="J72" s="2">
        <v>2</v>
      </c>
      <c r="K72" s="2" t="s">
        <v>696</v>
      </c>
      <c r="L72" s="4" t="s">
        <v>697</v>
      </c>
      <c r="M72" s="2"/>
      <c r="N72" s="2" t="s">
        <v>81</v>
      </c>
      <c r="O72" s="2"/>
      <c r="P72" s="2" t="s">
        <v>78</v>
      </c>
      <c r="Q72" s="2" t="s">
        <v>94</v>
      </c>
      <c r="R72" s="2" t="s">
        <v>81</v>
      </c>
      <c r="S72" s="2" t="s">
        <v>60</v>
      </c>
      <c r="T72" s="6">
        <v>0.77569444444444446</v>
      </c>
      <c r="U72" s="2" t="s">
        <v>61</v>
      </c>
      <c r="V72" s="2" t="s">
        <v>62</v>
      </c>
    </row>
    <row r="73" spans="1:22" ht="18" customHeight="1" x14ac:dyDescent="0.3">
      <c r="A73" s="2" t="s">
        <v>698</v>
      </c>
      <c r="B73" s="2" t="s">
        <v>237</v>
      </c>
      <c r="C73" s="2" t="s">
        <v>238</v>
      </c>
      <c r="D73" s="2" t="s">
        <v>1320</v>
      </c>
      <c r="E73" s="2" t="s">
        <v>75</v>
      </c>
      <c r="F73" s="2" t="s">
        <v>55</v>
      </c>
      <c r="G73" s="3">
        <v>46178.471053240741</v>
      </c>
      <c r="H73" s="3">
        <v>46197.41101851852</v>
      </c>
      <c r="I73" s="2" t="s">
        <v>123</v>
      </c>
      <c r="J73" s="2">
        <v>3</v>
      </c>
      <c r="K73" s="2" t="s">
        <v>699</v>
      </c>
      <c r="L73" s="4" t="s">
        <v>700</v>
      </c>
      <c r="M73" s="2"/>
      <c r="N73" s="2" t="s">
        <v>81</v>
      </c>
      <c r="O73" s="2"/>
      <c r="P73" s="2" t="s">
        <v>78</v>
      </c>
      <c r="Q73" s="2" t="s">
        <v>94</v>
      </c>
      <c r="R73" s="2" t="s">
        <v>81</v>
      </c>
      <c r="S73" s="2" t="s">
        <v>60</v>
      </c>
      <c r="T73" s="5">
        <v>5.6277777777777782</v>
      </c>
      <c r="U73" s="2" t="s">
        <v>61</v>
      </c>
      <c r="V73" s="2" t="s">
        <v>62</v>
      </c>
    </row>
    <row r="74" spans="1:22" ht="18" customHeight="1" x14ac:dyDescent="0.3">
      <c r="A74" s="2" t="s">
        <v>701</v>
      </c>
      <c r="B74" s="2" t="s">
        <v>702</v>
      </c>
      <c r="C74" s="2" t="s">
        <v>703</v>
      </c>
      <c r="D74" s="2" t="s">
        <v>1318</v>
      </c>
      <c r="E74" s="2" t="s">
        <v>72</v>
      </c>
      <c r="F74" s="2" t="s">
        <v>55</v>
      </c>
      <c r="G74" s="3">
        <v>46178.562615740739</v>
      </c>
      <c r="H74" s="3">
        <v>46191.663958333331</v>
      </c>
      <c r="I74" s="2" t="s">
        <v>77</v>
      </c>
      <c r="J74" s="2">
        <v>3</v>
      </c>
      <c r="K74" s="2" t="s">
        <v>704</v>
      </c>
      <c r="L74" s="4" t="s">
        <v>705</v>
      </c>
      <c r="M74" s="2"/>
      <c r="N74" s="2" t="s">
        <v>78</v>
      </c>
      <c r="O74" s="2"/>
      <c r="P74" s="2" t="s">
        <v>78</v>
      </c>
      <c r="Q74" s="2" t="s">
        <v>94</v>
      </c>
      <c r="R74" s="2" t="s">
        <v>78</v>
      </c>
      <c r="S74" s="2" t="s">
        <v>60</v>
      </c>
      <c r="T74" s="5">
        <v>4.0388888888888888</v>
      </c>
      <c r="U74" s="2" t="s">
        <v>61</v>
      </c>
      <c r="V74" s="2" t="s">
        <v>62</v>
      </c>
    </row>
    <row r="75" spans="1:22" ht="18" customHeight="1" x14ac:dyDescent="0.3">
      <c r="A75" s="2" t="s">
        <v>706</v>
      </c>
      <c r="B75" s="2" t="s">
        <v>707</v>
      </c>
      <c r="C75" s="2" t="s">
        <v>708</v>
      </c>
      <c r="D75" s="2" t="s">
        <v>1319</v>
      </c>
      <c r="E75" s="2" t="s">
        <v>66</v>
      </c>
      <c r="F75" s="2" t="s">
        <v>76</v>
      </c>
      <c r="G75" s="3">
        <v>46178.5937037037</v>
      </c>
      <c r="H75" s="3">
        <v>46178.620451388888</v>
      </c>
      <c r="I75" s="2" t="s">
        <v>73</v>
      </c>
      <c r="J75" s="2">
        <v>2</v>
      </c>
      <c r="K75" s="2" t="s">
        <v>709</v>
      </c>
      <c r="L75" s="4" t="s">
        <v>710</v>
      </c>
      <c r="M75" s="2"/>
      <c r="N75" s="2" t="s">
        <v>58</v>
      </c>
      <c r="O75" s="2"/>
      <c r="P75" s="2" t="s">
        <v>58</v>
      </c>
      <c r="Q75" s="2" t="s">
        <v>59</v>
      </c>
      <c r="R75" s="2" t="s">
        <v>58</v>
      </c>
      <c r="S75" s="2" t="s">
        <v>60</v>
      </c>
      <c r="T75" s="6">
        <v>2.7083333333333334E-2</v>
      </c>
      <c r="U75" s="2" t="s">
        <v>61</v>
      </c>
      <c r="V75" s="2" t="s">
        <v>62</v>
      </c>
    </row>
    <row r="76" spans="1:22" ht="18" customHeight="1" x14ac:dyDescent="0.3">
      <c r="A76" s="2" t="s">
        <v>711</v>
      </c>
      <c r="B76" s="2" t="s">
        <v>712</v>
      </c>
      <c r="C76" s="2" t="s">
        <v>713</v>
      </c>
      <c r="D76" s="2" t="s">
        <v>1320</v>
      </c>
      <c r="E76" s="2" t="s">
        <v>75</v>
      </c>
      <c r="F76" s="2" t="s">
        <v>55</v>
      </c>
      <c r="G76" s="3">
        <v>46178.615937499999</v>
      </c>
      <c r="H76" s="3">
        <v>46198.415925925925</v>
      </c>
      <c r="I76" s="2" t="s">
        <v>77</v>
      </c>
      <c r="J76" s="2">
        <v>3</v>
      </c>
      <c r="K76" s="2" t="s">
        <v>714</v>
      </c>
      <c r="L76" s="4" t="s">
        <v>715</v>
      </c>
      <c r="M76" s="2"/>
      <c r="N76" s="2" t="s">
        <v>81</v>
      </c>
      <c r="O76" s="2"/>
      <c r="P76" s="2" t="s">
        <v>78</v>
      </c>
      <c r="Q76" s="2" t="s">
        <v>94</v>
      </c>
      <c r="R76" s="2" t="s">
        <v>81</v>
      </c>
      <c r="S76" s="2" t="s">
        <v>60</v>
      </c>
      <c r="T76" s="5">
        <v>5.9249999999999998</v>
      </c>
      <c r="U76" s="2" t="s">
        <v>61</v>
      </c>
      <c r="V76" s="2" t="s">
        <v>62</v>
      </c>
    </row>
    <row r="77" spans="1:22" ht="18" customHeight="1" x14ac:dyDescent="0.3">
      <c r="A77" s="2" t="s">
        <v>716</v>
      </c>
      <c r="B77" s="2" t="s">
        <v>80</v>
      </c>
      <c r="C77" s="2" t="s">
        <v>655</v>
      </c>
      <c r="D77" s="2" t="s">
        <v>1321</v>
      </c>
      <c r="E77" s="2" t="s">
        <v>54</v>
      </c>
      <c r="F77" s="2" t="s">
        <v>67</v>
      </c>
      <c r="G77" s="3">
        <v>46178.632847222223</v>
      </c>
      <c r="H77" s="3">
        <v>46188.455034722225</v>
      </c>
      <c r="I77" s="2" t="s">
        <v>97</v>
      </c>
      <c r="J77" s="2">
        <v>2</v>
      </c>
      <c r="K77" s="2" t="s">
        <v>717</v>
      </c>
      <c r="L77" s="2"/>
      <c r="M77" s="2"/>
      <c r="N77" s="2" t="s">
        <v>105</v>
      </c>
      <c r="O77" s="2"/>
      <c r="P77" s="2" t="s">
        <v>98</v>
      </c>
      <c r="Q77" s="2" t="s">
        <v>664</v>
      </c>
      <c r="R77" s="2" t="s">
        <v>105</v>
      </c>
      <c r="S77" s="2" t="s">
        <v>60</v>
      </c>
      <c r="T77" s="5">
        <v>2.4472222222222224</v>
      </c>
      <c r="U77" s="2" t="s">
        <v>61</v>
      </c>
      <c r="V77" s="2" t="s">
        <v>62</v>
      </c>
    </row>
    <row r="78" spans="1:22" ht="18" customHeight="1" x14ac:dyDescent="0.3">
      <c r="A78" s="2" t="s">
        <v>718</v>
      </c>
      <c r="B78" s="2" t="s">
        <v>661</v>
      </c>
      <c r="C78" s="2" t="s">
        <v>662</v>
      </c>
      <c r="D78" s="2" t="s">
        <v>1319</v>
      </c>
      <c r="E78" s="2" t="s">
        <v>66</v>
      </c>
      <c r="F78" s="2" t="s">
        <v>76</v>
      </c>
      <c r="G78" s="3">
        <v>46178.651550925926</v>
      </c>
      <c r="H78" s="3">
        <v>46184.421481481484</v>
      </c>
      <c r="I78" s="2" t="s">
        <v>97</v>
      </c>
      <c r="J78" s="2">
        <v>2</v>
      </c>
      <c r="K78" s="2" t="s">
        <v>719</v>
      </c>
      <c r="L78" s="2"/>
      <c r="M78" s="2"/>
      <c r="N78" s="2" t="s">
        <v>105</v>
      </c>
      <c r="O78" s="2"/>
      <c r="P78" s="2" t="s">
        <v>98</v>
      </c>
      <c r="Q78" s="2" t="s">
        <v>106</v>
      </c>
      <c r="R78" s="2" t="s">
        <v>105</v>
      </c>
      <c r="S78" s="2" t="s">
        <v>60</v>
      </c>
      <c r="T78" s="5">
        <v>1.5201388888888889</v>
      </c>
      <c r="U78" s="2" t="s">
        <v>61</v>
      </c>
      <c r="V78" s="2" t="s">
        <v>62</v>
      </c>
    </row>
    <row r="79" spans="1:22" ht="18" customHeight="1" x14ac:dyDescent="0.3">
      <c r="A79" s="2" t="s">
        <v>720</v>
      </c>
      <c r="B79" s="2" t="s">
        <v>255</v>
      </c>
      <c r="C79" s="2" t="s">
        <v>256</v>
      </c>
      <c r="D79" s="2" t="s">
        <v>1320</v>
      </c>
      <c r="E79" s="2" t="s">
        <v>75</v>
      </c>
      <c r="F79" s="2" t="s">
        <v>55</v>
      </c>
      <c r="G79" s="3">
        <v>46178.70107638889</v>
      </c>
      <c r="H79" s="3">
        <v>46185.411712962959</v>
      </c>
      <c r="I79" s="2" t="s">
        <v>97</v>
      </c>
      <c r="J79" s="2">
        <v>2</v>
      </c>
      <c r="K79" s="2" t="s">
        <v>721</v>
      </c>
      <c r="L79" s="2"/>
      <c r="M79" s="2"/>
      <c r="N79" s="2" t="s">
        <v>105</v>
      </c>
      <c r="O79" s="2"/>
      <c r="P79" s="2" t="s">
        <v>98</v>
      </c>
      <c r="Q79" s="2" t="s">
        <v>106</v>
      </c>
      <c r="R79" s="2" t="s">
        <v>105</v>
      </c>
      <c r="S79" s="2" t="s">
        <v>60</v>
      </c>
      <c r="T79" s="5">
        <v>1.898611111111111</v>
      </c>
      <c r="U79" s="2" t="s">
        <v>61</v>
      </c>
      <c r="V79" s="2" t="s">
        <v>62</v>
      </c>
    </row>
    <row r="80" spans="1:22" ht="18" customHeight="1" x14ac:dyDescent="0.3">
      <c r="A80" s="2" t="s">
        <v>722</v>
      </c>
      <c r="B80" s="2" t="s">
        <v>723</v>
      </c>
      <c r="C80" s="2" t="s">
        <v>724</v>
      </c>
      <c r="D80" s="2" t="s">
        <v>1142</v>
      </c>
      <c r="E80" s="2" t="s">
        <v>72</v>
      </c>
      <c r="F80" s="2" t="s">
        <v>55</v>
      </c>
      <c r="G80" s="3">
        <v>46178.7266087963</v>
      </c>
      <c r="H80" s="3">
        <v>46181.431307870371</v>
      </c>
      <c r="I80" s="2" t="s">
        <v>226</v>
      </c>
      <c r="J80" s="2">
        <v>3</v>
      </c>
      <c r="K80" s="2" t="s">
        <v>725</v>
      </c>
      <c r="L80" s="4" t="s">
        <v>726</v>
      </c>
      <c r="M80" s="2"/>
      <c r="N80" s="2" t="s">
        <v>58</v>
      </c>
      <c r="O80" s="2"/>
      <c r="P80" s="2" t="s">
        <v>58</v>
      </c>
      <c r="Q80" s="2" t="s">
        <v>59</v>
      </c>
      <c r="R80" s="2" t="s">
        <v>58</v>
      </c>
      <c r="S80" s="2" t="s">
        <v>60</v>
      </c>
      <c r="T80" s="5">
        <v>2.7048611111111112</v>
      </c>
      <c r="U80" s="2" t="s">
        <v>61</v>
      </c>
      <c r="V80" s="2" t="s">
        <v>62</v>
      </c>
    </row>
    <row r="81" spans="1:22" ht="18" customHeight="1" x14ac:dyDescent="0.3">
      <c r="A81" s="2" t="s">
        <v>727</v>
      </c>
      <c r="B81" s="2" t="s">
        <v>728</v>
      </c>
      <c r="C81" s="2" t="s">
        <v>729</v>
      </c>
      <c r="D81" s="2" t="s">
        <v>1322</v>
      </c>
      <c r="E81" s="2" t="s">
        <v>66</v>
      </c>
      <c r="F81" s="2" t="s">
        <v>76</v>
      </c>
      <c r="G81" s="3">
        <v>46181.347812499997</v>
      </c>
      <c r="H81" s="3">
        <v>46206.499050925922</v>
      </c>
      <c r="I81" s="2" t="s">
        <v>432</v>
      </c>
      <c r="J81" s="2">
        <v>2</v>
      </c>
      <c r="K81" s="2" t="s">
        <v>730</v>
      </c>
      <c r="L81" s="4" t="s">
        <v>731</v>
      </c>
      <c r="M81" s="2"/>
      <c r="N81" s="2" t="s">
        <v>433</v>
      </c>
      <c r="O81" s="2"/>
      <c r="P81" s="2" t="s">
        <v>433</v>
      </c>
      <c r="Q81" s="2" t="s">
        <v>465</v>
      </c>
      <c r="R81" s="2" t="s">
        <v>433</v>
      </c>
      <c r="S81" s="2" t="s">
        <v>60</v>
      </c>
      <c r="T81" s="5">
        <v>8.4638888888888886</v>
      </c>
      <c r="U81" s="2" t="s">
        <v>61</v>
      </c>
      <c r="V81" s="2" t="s">
        <v>62</v>
      </c>
    </row>
    <row r="82" spans="1:22" ht="18" customHeight="1" x14ac:dyDescent="0.3">
      <c r="A82" s="2" t="s">
        <v>732</v>
      </c>
      <c r="B82" s="2" t="s">
        <v>733</v>
      </c>
      <c r="C82" s="2" t="s">
        <v>734</v>
      </c>
      <c r="D82" s="2" t="s">
        <v>1142</v>
      </c>
      <c r="E82" s="2" t="s">
        <v>72</v>
      </c>
      <c r="F82" s="2" t="s">
        <v>55</v>
      </c>
      <c r="G82" s="3">
        <v>46181.423402777778</v>
      </c>
      <c r="H82" s="3">
        <v>46202.45239583333</v>
      </c>
      <c r="I82" s="2" t="s">
        <v>99</v>
      </c>
      <c r="J82" s="2">
        <v>2</v>
      </c>
      <c r="K82" s="2" t="s">
        <v>735</v>
      </c>
      <c r="L82" s="4" t="s">
        <v>736</v>
      </c>
      <c r="M82" s="2"/>
      <c r="N82" s="2" t="s">
        <v>78</v>
      </c>
      <c r="O82" s="2"/>
      <c r="P82" s="2" t="s">
        <v>78</v>
      </c>
      <c r="Q82" s="2" t="s">
        <v>103</v>
      </c>
      <c r="R82" s="2" t="s">
        <v>78</v>
      </c>
      <c r="S82" s="2" t="s">
        <v>60</v>
      </c>
      <c r="T82" s="5">
        <v>6.5916666666666668</v>
      </c>
      <c r="U82" s="2" t="s">
        <v>108</v>
      </c>
      <c r="V82" s="2" t="s">
        <v>62</v>
      </c>
    </row>
    <row r="83" spans="1:22" ht="18" customHeight="1" x14ac:dyDescent="0.3">
      <c r="A83" s="2" t="s">
        <v>737</v>
      </c>
      <c r="B83" s="2" t="s">
        <v>738</v>
      </c>
      <c r="C83" s="2" t="s">
        <v>739</v>
      </c>
      <c r="D83" s="2" t="s">
        <v>1149</v>
      </c>
      <c r="E83" s="2" t="s">
        <v>54</v>
      </c>
      <c r="F83" s="2" t="s">
        <v>76</v>
      </c>
      <c r="G83" s="3">
        <v>46181.438807870371</v>
      </c>
      <c r="H83" s="3">
        <v>46182.495555555557</v>
      </c>
      <c r="I83" s="2" t="s">
        <v>56</v>
      </c>
      <c r="J83" s="2">
        <v>3</v>
      </c>
      <c r="K83" s="2" t="s">
        <v>57</v>
      </c>
      <c r="L83" s="4" t="s">
        <v>740</v>
      </c>
      <c r="M83" s="2"/>
      <c r="N83" s="2" t="s">
        <v>58</v>
      </c>
      <c r="O83" s="2"/>
      <c r="P83" s="2" t="s">
        <v>58</v>
      </c>
      <c r="Q83" s="2" t="s">
        <v>59</v>
      </c>
      <c r="R83" s="2" t="s">
        <v>58</v>
      </c>
      <c r="S83" s="2" t="s">
        <v>60</v>
      </c>
      <c r="T83" s="6">
        <v>0.49444444444444446</v>
      </c>
      <c r="U83" s="2" t="s">
        <v>61</v>
      </c>
      <c r="V83" s="2" t="s">
        <v>62</v>
      </c>
    </row>
    <row r="84" spans="1:22" ht="18" customHeight="1" x14ac:dyDescent="0.3">
      <c r="A84" s="2" t="s">
        <v>741</v>
      </c>
      <c r="B84" s="2" t="s">
        <v>738</v>
      </c>
      <c r="C84" s="2" t="s">
        <v>739</v>
      </c>
      <c r="D84" s="2" t="s">
        <v>1149</v>
      </c>
      <c r="E84" s="2" t="s">
        <v>54</v>
      </c>
      <c r="F84" s="2" t="s">
        <v>76</v>
      </c>
      <c r="G84" s="3">
        <v>46181.43917824074</v>
      </c>
      <c r="H84" s="3">
        <v>46182.427060185182</v>
      </c>
      <c r="I84" s="2" t="s">
        <v>63</v>
      </c>
      <c r="J84" s="2">
        <v>3</v>
      </c>
      <c r="K84" s="2" t="s">
        <v>742</v>
      </c>
      <c r="L84" s="4" t="s">
        <v>389</v>
      </c>
      <c r="M84" s="2"/>
      <c r="N84" s="2" t="s">
        <v>58</v>
      </c>
      <c r="O84" s="2"/>
      <c r="P84" s="2" t="s">
        <v>58</v>
      </c>
      <c r="Q84" s="2" t="s">
        <v>74</v>
      </c>
      <c r="R84" s="2" t="s">
        <v>58</v>
      </c>
      <c r="S84" s="2" t="s">
        <v>60</v>
      </c>
      <c r="T84" s="6">
        <v>0.4465277777777778</v>
      </c>
      <c r="U84" s="2" t="s">
        <v>61</v>
      </c>
      <c r="V84" s="2" t="s">
        <v>62</v>
      </c>
    </row>
    <row r="85" spans="1:22" ht="18" customHeight="1" x14ac:dyDescent="0.3">
      <c r="A85" s="2" t="s">
        <v>743</v>
      </c>
      <c r="B85" s="2" t="s">
        <v>419</v>
      </c>
      <c r="C85" s="2" t="s">
        <v>420</v>
      </c>
      <c r="D85" s="2" t="s">
        <v>1318</v>
      </c>
      <c r="E85" s="2" t="s">
        <v>72</v>
      </c>
      <c r="F85" s="2" t="s">
        <v>55</v>
      </c>
      <c r="G85" s="3">
        <v>46181.472025462965</v>
      </c>
      <c r="H85" s="3">
        <v>46196.430405092593</v>
      </c>
      <c r="I85" s="2" t="s">
        <v>99</v>
      </c>
      <c r="J85" s="2">
        <v>2</v>
      </c>
      <c r="K85" s="2" t="s">
        <v>744</v>
      </c>
      <c r="L85" s="4" t="s">
        <v>745</v>
      </c>
      <c r="M85" s="2"/>
      <c r="N85" s="2" t="s">
        <v>78</v>
      </c>
      <c r="O85" s="2"/>
      <c r="P85" s="2" t="s">
        <v>78</v>
      </c>
      <c r="Q85" s="2" t="s">
        <v>103</v>
      </c>
      <c r="R85" s="2" t="s">
        <v>78</v>
      </c>
      <c r="S85" s="2" t="s">
        <v>60</v>
      </c>
      <c r="T85" s="5">
        <v>4.771527777777778</v>
      </c>
      <c r="U85" s="2" t="s">
        <v>61</v>
      </c>
      <c r="V85" s="2" t="s">
        <v>62</v>
      </c>
    </row>
    <row r="86" spans="1:22" ht="18" customHeight="1" x14ac:dyDescent="0.3">
      <c r="A86" s="2" t="s">
        <v>746</v>
      </c>
      <c r="B86" s="2" t="s">
        <v>747</v>
      </c>
      <c r="C86" s="2" t="s">
        <v>748</v>
      </c>
      <c r="D86" s="2" t="s">
        <v>1149</v>
      </c>
      <c r="E86" s="2" t="s">
        <v>54</v>
      </c>
      <c r="F86" s="2" t="s">
        <v>67</v>
      </c>
      <c r="G86" s="3">
        <v>46181.528229166666</v>
      </c>
      <c r="H86" s="3">
        <v>46181.711840277778</v>
      </c>
      <c r="I86" s="2" t="s">
        <v>77</v>
      </c>
      <c r="J86" s="2">
        <v>3</v>
      </c>
      <c r="K86" s="2" t="s">
        <v>749</v>
      </c>
      <c r="L86" s="4" t="s">
        <v>750</v>
      </c>
      <c r="M86" s="2"/>
      <c r="N86" s="2" t="s">
        <v>78</v>
      </c>
      <c r="O86" s="2"/>
      <c r="P86" s="2" t="s">
        <v>79</v>
      </c>
      <c r="Q86" s="2" t="s">
        <v>80</v>
      </c>
      <c r="R86" s="2" t="s">
        <v>78</v>
      </c>
      <c r="S86" s="2" t="s">
        <v>60</v>
      </c>
      <c r="T86" s="6">
        <v>0.18402777777777779</v>
      </c>
      <c r="U86" s="2" t="s">
        <v>61</v>
      </c>
      <c r="V86" s="2" t="s">
        <v>62</v>
      </c>
    </row>
    <row r="87" spans="1:22" ht="18" customHeight="1" x14ac:dyDescent="0.3">
      <c r="A87" s="2" t="s">
        <v>751</v>
      </c>
      <c r="B87" s="2" t="s">
        <v>68</v>
      </c>
      <c r="C87" s="2" t="s">
        <v>69</v>
      </c>
      <c r="D87" s="2" t="s">
        <v>1321</v>
      </c>
      <c r="E87" s="2" t="s">
        <v>54</v>
      </c>
      <c r="F87" s="2" t="s">
        <v>55</v>
      </c>
      <c r="G87" s="3">
        <v>46181.591782407406</v>
      </c>
      <c r="H87" s="3">
        <v>46182.4059375</v>
      </c>
      <c r="I87" s="2" t="s">
        <v>100</v>
      </c>
      <c r="J87" s="2">
        <v>2</v>
      </c>
      <c r="K87" s="4" t="s">
        <v>752</v>
      </c>
      <c r="L87" s="4" t="s">
        <v>753</v>
      </c>
      <c r="M87" s="2"/>
      <c r="N87" s="2" t="s">
        <v>71</v>
      </c>
      <c r="O87" s="2"/>
      <c r="P87" s="2" t="s">
        <v>146</v>
      </c>
      <c r="Q87" s="2" t="s">
        <v>147</v>
      </c>
      <c r="R87" s="2" t="s">
        <v>71</v>
      </c>
      <c r="S87" s="2" t="s">
        <v>60</v>
      </c>
      <c r="T87" s="6">
        <v>0.25208333333333333</v>
      </c>
      <c r="U87" s="2" t="s">
        <v>61</v>
      </c>
      <c r="V87" s="2" t="s">
        <v>189</v>
      </c>
    </row>
    <row r="88" spans="1:22" ht="18" customHeight="1" x14ac:dyDescent="0.3">
      <c r="A88" s="2" t="s">
        <v>754</v>
      </c>
      <c r="B88" s="2" t="s">
        <v>755</v>
      </c>
      <c r="C88" s="2" t="s">
        <v>756</v>
      </c>
      <c r="D88" s="2" t="s">
        <v>1142</v>
      </c>
      <c r="E88" s="2" t="s">
        <v>72</v>
      </c>
      <c r="F88" s="2" t="s">
        <v>55</v>
      </c>
      <c r="G88" s="3">
        <v>46181.610300925924</v>
      </c>
      <c r="H88" s="3">
        <v>46185.443645833337</v>
      </c>
      <c r="I88" s="2" t="s">
        <v>77</v>
      </c>
      <c r="J88" s="2">
        <v>2</v>
      </c>
      <c r="K88" s="2" t="s">
        <v>757</v>
      </c>
      <c r="L88" s="4" t="s">
        <v>758</v>
      </c>
      <c r="M88" s="2"/>
      <c r="N88" s="2" t="s">
        <v>81</v>
      </c>
      <c r="O88" s="2"/>
      <c r="P88" s="2" t="s">
        <v>78</v>
      </c>
      <c r="Q88" s="2" t="s">
        <v>94</v>
      </c>
      <c r="R88" s="2" t="s">
        <v>81</v>
      </c>
      <c r="S88" s="2" t="s">
        <v>60</v>
      </c>
      <c r="T88" s="6">
        <v>0.98055555555555551</v>
      </c>
      <c r="U88" s="2" t="s">
        <v>61</v>
      </c>
      <c r="V88" s="2" t="s">
        <v>62</v>
      </c>
    </row>
    <row r="89" spans="1:22" ht="18" customHeight="1" x14ac:dyDescent="0.3">
      <c r="A89" s="2" t="s">
        <v>759</v>
      </c>
      <c r="B89" s="2" t="s">
        <v>404</v>
      </c>
      <c r="C89" s="2" t="s">
        <v>405</v>
      </c>
      <c r="D89" s="2" t="s">
        <v>1321</v>
      </c>
      <c r="E89" s="2" t="s">
        <v>54</v>
      </c>
      <c r="F89" s="2" t="s">
        <v>55</v>
      </c>
      <c r="G89" s="3">
        <v>46181.729502314818</v>
      </c>
      <c r="H89" s="3">
        <v>46183.697372685187</v>
      </c>
      <c r="I89" s="2" t="s">
        <v>100</v>
      </c>
      <c r="J89" s="2">
        <v>3</v>
      </c>
      <c r="K89" s="4" t="s">
        <v>760</v>
      </c>
      <c r="L89" s="2"/>
      <c r="M89" s="2"/>
      <c r="N89" s="2" t="s">
        <v>71</v>
      </c>
      <c r="O89" s="2"/>
      <c r="P89" s="2"/>
      <c r="Q89" s="2" t="s">
        <v>404</v>
      </c>
      <c r="R89" s="2" t="s">
        <v>71</v>
      </c>
      <c r="S89" s="2" t="s">
        <v>60</v>
      </c>
      <c r="T89" s="6">
        <v>0.84305555555555556</v>
      </c>
      <c r="U89" s="2" t="s">
        <v>61</v>
      </c>
      <c r="V89" s="2" t="s">
        <v>189</v>
      </c>
    </row>
    <row r="90" spans="1:22" ht="18" customHeight="1" x14ac:dyDescent="0.3">
      <c r="A90" s="2" t="s">
        <v>761</v>
      </c>
      <c r="B90" s="2" t="s">
        <v>172</v>
      </c>
      <c r="C90" s="2" t="s">
        <v>173</v>
      </c>
      <c r="D90" s="2" t="s">
        <v>1321</v>
      </c>
      <c r="E90" s="2" t="s">
        <v>54</v>
      </c>
      <c r="F90" s="2" t="s">
        <v>55</v>
      </c>
      <c r="G90" s="3">
        <v>46181.736527777779</v>
      </c>
      <c r="H90" s="3">
        <v>46182.609803240739</v>
      </c>
      <c r="I90" s="2" t="s">
        <v>97</v>
      </c>
      <c r="J90" s="2">
        <v>2</v>
      </c>
      <c r="K90" s="2" t="s">
        <v>762</v>
      </c>
      <c r="L90" s="4" t="s">
        <v>763</v>
      </c>
      <c r="M90" s="2"/>
      <c r="N90" s="2" t="s">
        <v>105</v>
      </c>
      <c r="O90" s="2"/>
      <c r="P90" s="2" t="s">
        <v>98</v>
      </c>
      <c r="Q90" s="2" t="s">
        <v>171</v>
      </c>
      <c r="R90" s="2" t="s">
        <v>105</v>
      </c>
      <c r="S90" s="2" t="s">
        <v>60</v>
      </c>
      <c r="T90" s="6">
        <v>0.31111111111111112</v>
      </c>
      <c r="U90" s="2" t="s">
        <v>61</v>
      </c>
      <c r="V90" s="2" t="s">
        <v>62</v>
      </c>
    </row>
    <row r="91" spans="1:22" ht="18" customHeight="1" x14ac:dyDescent="0.3">
      <c r="A91" s="2" t="s">
        <v>764</v>
      </c>
      <c r="B91" s="2" t="s">
        <v>255</v>
      </c>
      <c r="C91" s="2" t="s">
        <v>256</v>
      </c>
      <c r="D91" s="2" t="s">
        <v>1320</v>
      </c>
      <c r="E91" s="2" t="s">
        <v>75</v>
      </c>
      <c r="F91" s="2" t="s">
        <v>55</v>
      </c>
      <c r="G91" s="3">
        <v>46182.335034722222</v>
      </c>
      <c r="H91" s="3">
        <v>46196.414421296293</v>
      </c>
      <c r="I91" s="2" t="s">
        <v>97</v>
      </c>
      <c r="J91" s="2">
        <v>3</v>
      </c>
      <c r="K91" s="2" t="s">
        <v>765</v>
      </c>
      <c r="L91" s="2"/>
      <c r="M91" s="2"/>
      <c r="N91" s="2" t="s">
        <v>105</v>
      </c>
      <c r="O91" s="2"/>
      <c r="P91" s="2" t="s">
        <v>98</v>
      </c>
      <c r="Q91" s="2" t="s">
        <v>141</v>
      </c>
      <c r="R91" s="2" t="s">
        <v>105</v>
      </c>
      <c r="S91" s="2" t="s">
        <v>60</v>
      </c>
      <c r="T91" s="5">
        <v>4.4548611111111107</v>
      </c>
      <c r="U91" s="2" t="s">
        <v>61</v>
      </c>
      <c r="V91" s="2" t="s">
        <v>62</v>
      </c>
    </row>
    <row r="92" spans="1:22" ht="18" customHeight="1" x14ac:dyDescent="0.3">
      <c r="A92" s="2" t="s">
        <v>766</v>
      </c>
      <c r="B92" s="2" t="s">
        <v>68</v>
      </c>
      <c r="C92" s="2" t="s">
        <v>69</v>
      </c>
      <c r="D92" s="2" t="s">
        <v>1321</v>
      </c>
      <c r="E92" s="2" t="s">
        <v>54</v>
      </c>
      <c r="F92" s="2" t="s">
        <v>55</v>
      </c>
      <c r="G92" s="3">
        <v>46182.4059837963</v>
      </c>
      <c r="H92" s="3">
        <v>46184.286666666667</v>
      </c>
      <c r="I92" s="2" t="s">
        <v>275</v>
      </c>
      <c r="J92" s="2">
        <v>3</v>
      </c>
      <c r="K92" s="4" t="s">
        <v>767</v>
      </c>
      <c r="L92" s="2"/>
      <c r="M92" s="2"/>
      <c r="N92" s="2" t="s">
        <v>126</v>
      </c>
      <c r="O92" s="2" t="s">
        <v>126</v>
      </c>
      <c r="P92" s="2" t="s">
        <v>126</v>
      </c>
      <c r="Q92" s="2" t="s">
        <v>225</v>
      </c>
      <c r="R92" s="2" t="s">
        <v>126</v>
      </c>
      <c r="S92" s="2" t="s">
        <v>60</v>
      </c>
      <c r="T92" s="6">
        <v>0</v>
      </c>
      <c r="U92" s="2" t="s">
        <v>61</v>
      </c>
      <c r="V92" s="2" t="s">
        <v>276</v>
      </c>
    </row>
    <row r="93" spans="1:22" ht="18" customHeight="1" x14ac:dyDescent="0.3">
      <c r="A93" s="2" t="s">
        <v>768</v>
      </c>
      <c r="B93" s="2" t="s">
        <v>167</v>
      </c>
      <c r="C93" s="2" t="s">
        <v>168</v>
      </c>
      <c r="D93" s="2" t="s">
        <v>1321</v>
      </c>
      <c r="E93" s="2" t="s">
        <v>54</v>
      </c>
      <c r="F93" s="2" t="s">
        <v>55</v>
      </c>
      <c r="G93" s="3">
        <v>46182.408865740741</v>
      </c>
      <c r="H93" s="3">
        <v>46184.286469907405</v>
      </c>
      <c r="I93" s="2" t="s">
        <v>275</v>
      </c>
      <c r="J93" s="2">
        <v>3</v>
      </c>
      <c r="K93" s="4" t="s">
        <v>769</v>
      </c>
      <c r="L93" s="2"/>
      <c r="M93" s="2"/>
      <c r="N93" s="2" t="s">
        <v>126</v>
      </c>
      <c r="O93" s="2" t="s">
        <v>126</v>
      </c>
      <c r="P93" s="2" t="s">
        <v>126</v>
      </c>
      <c r="Q93" s="2" t="s">
        <v>225</v>
      </c>
      <c r="R93" s="2" t="s">
        <v>126</v>
      </c>
      <c r="S93" s="2" t="s">
        <v>60</v>
      </c>
      <c r="T93" s="6">
        <v>0</v>
      </c>
      <c r="U93" s="2" t="s">
        <v>61</v>
      </c>
      <c r="V93" s="2" t="s">
        <v>276</v>
      </c>
    </row>
    <row r="94" spans="1:22" ht="18" customHeight="1" x14ac:dyDescent="0.3">
      <c r="A94" s="2" t="s">
        <v>770</v>
      </c>
      <c r="B94" s="2" t="s">
        <v>771</v>
      </c>
      <c r="C94" s="2" t="s">
        <v>772</v>
      </c>
      <c r="D94" s="2" t="s">
        <v>1149</v>
      </c>
      <c r="E94" s="2" t="s">
        <v>54</v>
      </c>
      <c r="F94" s="2" t="s">
        <v>76</v>
      </c>
      <c r="G94" s="3">
        <v>46182.410532407404</v>
      </c>
      <c r="H94" s="3">
        <v>46182.502280092594</v>
      </c>
      <c r="I94" s="2" t="s">
        <v>226</v>
      </c>
      <c r="J94" s="2">
        <v>3</v>
      </c>
      <c r="K94" s="2" t="s">
        <v>773</v>
      </c>
      <c r="L94" s="4" t="s">
        <v>774</v>
      </c>
      <c r="M94" s="2"/>
      <c r="N94" s="2" t="s">
        <v>58</v>
      </c>
      <c r="O94" s="2"/>
      <c r="P94" s="2" t="s">
        <v>58</v>
      </c>
      <c r="Q94" s="2" t="s">
        <v>59</v>
      </c>
      <c r="R94" s="2" t="s">
        <v>58</v>
      </c>
      <c r="S94" s="2" t="s">
        <v>60</v>
      </c>
      <c r="T94" s="6">
        <v>9.2361111111111116E-2</v>
      </c>
      <c r="U94" s="2" t="s">
        <v>61</v>
      </c>
      <c r="V94" s="2" t="s">
        <v>62</v>
      </c>
    </row>
    <row r="95" spans="1:22" ht="18" customHeight="1" x14ac:dyDescent="0.3">
      <c r="A95" s="2" t="s">
        <v>775</v>
      </c>
      <c r="B95" s="2" t="s">
        <v>776</v>
      </c>
      <c r="C95" s="2" t="s">
        <v>777</v>
      </c>
      <c r="D95" s="2" t="s">
        <v>1149</v>
      </c>
      <c r="E95" s="2" t="s">
        <v>54</v>
      </c>
      <c r="F95" s="2" t="s">
        <v>55</v>
      </c>
      <c r="G95" s="3">
        <v>46182.414189814815</v>
      </c>
      <c r="H95" s="3">
        <v>46183.634976851848</v>
      </c>
      <c r="I95" s="2" t="s">
        <v>56</v>
      </c>
      <c r="J95" s="2">
        <v>3</v>
      </c>
      <c r="K95" s="2" t="s">
        <v>57</v>
      </c>
      <c r="L95" s="4" t="s">
        <v>192</v>
      </c>
      <c r="M95" s="2"/>
      <c r="N95" s="2" t="s">
        <v>58</v>
      </c>
      <c r="O95" s="2"/>
      <c r="P95" s="2" t="s">
        <v>58</v>
      </c>
      <c r="Q95" s="2" t="s">
        <v>74</v>
      </c>
      <c r="R95" s="2" t="s">
        <v>58</v>
      </c>
      <c r="S95" s="2" t="s">
        <v>60</v>
      </c>
      <c r="T95" s="6">
        <v>0.65833333333333333</v>
      </c>
      <c r="U95" s="2" t="s">
        <v>61</v>
      </c>
      <c r="V95" s="2" t="s">
        <v>62</v>
      </c>
    </row>
    <row r="96" spans="1:22" ht="18" customHeight="1" x14ac:dyDescent="0.3">
      <c r="A96" s="2" t="s">
        <v>778</v>
      </c>
      <c r="B96" s="2" t="s">
        <v>776</v>
      </c>
      <c r="C96" s="2" t="s">
        <v>777</v>
      </c>
      <c r="D96" s="2" t="s">
        <v>1149</v>
      </c>
      <c r="E96" s="2" t="s">
        <v>54</v>
      </c>
      <c r="F96" s="2" t="s">
        <v>55</v>
      </c>
      <c r="G96" s="3">
        <v>46182.414398148147</v>
      </c>
      <c r="H96" s="3">
        <v>46183.631168981483</v>
      </c>
      <c r="I96" s="2" t="s">
        <v>63</v>
      </c>
      <c r="J96" s="2">
        <v>3</v>
      </c>
      <c r="K96" s="2" t="s">
        <v>779</v>
      </c>
      <c r="L96" s="4" t="s">
        <v>780</v>
      </c>
      <c r="M96" s="2"/>
      <c r="N96" s="2" t="s">
        <v>58</v>
      </c>
      <c r="O96" s="2"/>
      <c r="P96" s="2" t="s">
        <v>58</v>
      </c>
      <c r="Q96" s="2" t="s">
        <v>74</v>
      </c>
      <c r="R96" s="2" t="s">
        <v>58</v>
      </c>
      <c r="S96" s="2" t="s">
        <v>60</v>
      </c>
      <c r="T96" s="6">
        <v>0.67569444444444449</v>
      </c>
      <c r="U96" s="2" t="s">
        <v>61</v>
      </c>
      <c r="V96" s="2" t="s">
        <v>62</v>
      </c>
    </row>
    <row r="97" spans="1:22" ht="18" customHeight="1" x14ac:dyDescent="0.3">
      <c r="A97" s="2" t="s">
        <v>781</v>
      </c>
      <c r="B97" s="2" t="s">
        <v>80</v>
      </c>
      <c r="C97" s="2" t="s">
        <v>655</v>
      </c>
      <c r="D97" s="2" t="s">
        <v>1321</v>
      </c>
      <c r="E97" s="2" t="s">
        <v>54</v>
      </c>
      <c r="F97" s="2" t="s">
        <v>67</v>
      </c>
      <c r="G97" s="3">
        <v>46182.42695601852</v>
      </c>
      <c r="H97" s="3">
        <v>46189.423171296294</v>
      </c>
      <c r="I97" s="2" t="s">
        <v>97</v>
      </c>
      <c r="J97" s="2">
        <v>2</v>
      </c>
      <c r="K97" s="2" t="s">
        <v>782</v>
      </c>
      <c r="L97" s="2"/>
      <c r="M97" s="2"/>
      <c r="N97" s="2" t="s">
        <v>105</v>
      </c>
      <c r="O97" s="2"/>
      <c r="P97" s="2" t="s">
        <v>98</v>
      </c>
      <c r="Q97" s="2" t="s">
        <v>106</v>
      </c>
      <c r="R97" s="2" t="s">
        <v>105</v>
      </c>
      <c r="S97" s="2" t="s">
        <v>60</v>
      </c>
      <c r="T97" s="5">
        <v>2.1840277777777777</v>
      </c>
      <c r="U97" s="2" t="s">
        <v>61</v>
      </c>
      <c r="V97" s="2" t="s">
        <v>62</v>
      </c>
    </row>
    <row r="98" spans="1:22" ht="18" customHeight="1" x14ac:dyDescent="0.3">
      <c r="A98" s="2" t="s">
        <v>783</v>
      </c>
      <c r="B98" s="2" t="s">
        <v>295</v>
      </c>
      <c r="C98" s="2" t="s">
        <v>296</v>
      </c>
      <c r="D98" s="2" t="s">
        <v>1321</v>
      </c>
      <c r="E98" s="2" t="s">
        <v>54</v>
      </c>
      <c r="F98" s="2" t="s">
        <v>55</v>
      </c>
      <c r="G98" s="3">
        <v>46182.451909722222</v>
      </c>
      <c r="H98" s="2"/>
      <c r="I98" s="2" t="s">
        <v>100</v>
      </c>
      <c r="J98" s="2">
        <v>3</v>
      </c>
      <c r="K98" s="4" t="s">
        <v>784</v>
      </c>
      <c r="L98" s="4" t="s">
        <v>785</v>
      </c>
      <c r="M98" s="2"/>
      <c r="N98" s="2" t="s">
        <v>71</v>
      </c>
      <c r="O98" s="2"/>
      <c r="P98" s="2"/>
      <c r="Q98" s="2"/>
      <c r="R98" s="2" t="s">
        <v>71</v>
      </c>
      <c r="S98" s="2" t="s">
        <v>92</v>
      </c>
      <c r="T98" s="6">
        <v>0</v>
      </c>
      <c r="U98" s="2" t="s">
        <v>117</v>
      </c>
      <c r="V98" s="2" t="s">
        <v>189</v>
      </c>
    </row>
    <row r="99" spans="1:22" ht="18" customHeight="1" x14ac:dyDescent="0.3">
      <c r="A99" s="2" t="s">
        <v>790</v>
      </c>
      <c r="B99" s="2" t="s">
        <v>205</v>
      </c>
      <c r="C99" s="2" t="s">
        <v>206</v>
      </c>
      <c r="D99" s="2" t="s">
        <v>1142</v>
      </c>
      <c r="E99" s="2" t="s">
        <v>72</v>
      </c>
      <c r="F99" s="2" t="s">
        <v>55</v>
      </c>
      <c r="G99" s="3">
        <v>46182.504050925927</v>
      </c>
      <c r="H99" s="3">
        <v>46185.366493055553</v>
      </c>
      <c r="I99" s="2" t="s">
        <v>77</v>
      </c>
      <c r="J99" s="2">
        <v>3</v>
      </c>
      <c r="K99" s="2" t="s">
        <v>791</v>
      </c>
      <c r="L99" s="4" t="s">
        <v>792</v>
      </c>
      <c r="M99" s="2"/>
      <c r="N99" s="2" t="s">
        <v>78</v>
      </c>
      <c r="O99" s="2"/>
      <c r="P99" s="2" t="s">
        <v>78</v>
      </c>
      <c r="Q99" s="2" t="s">
        <v>94</v>
      </c>
      <c r="R99" s="2" t="s">
        <v>78</v>
      </c>
      <c r="S99" s="2" t="s">
        <v>60</v>
      </c>
      <c r="T99" s="5">
        <v>1.175</v>
      </c>
      <c r="U99" s="2" t="s">
        <v>61</v>
      </c>
      <c r="V99" s="2" t="s">
        <v>62</v>
      </c>
    </row>
    <row r="100" spans="1:22" ht="18" customHeight="1" x14ac:dyDescent="0.3">
      <c r="A100" s="2" t="s">
        <v>793</v>
      </c>
      <c r="B100" s="2" t="s">
        <v>794</v>
      </c>
      <c r="C100" s="2" t="s">
        <v>795</v>
      </c>
      <c r="D100" s="2" t="s">
        <v>1149</v>
      </c>
      <c r="E100" s="2" t="s">
        <v>54</v>
      </c>
      <c r="F100" s="2" t="s">
        <v>76</v>
      </c>
      <c r="G100" s="3">
        <v>46182.575069444443</v>
      </c>
      <c r="H100" s="3">
        <v>46185.62195601852</v>
      </c>
      <c r="I100" s="2" t="s">
        <v>84</v>
      </c>
      <c r="J100" s="2">
        <v>3</v>
      </c>
      <c r="K100" s="2" t="s">
        <v>85</v>
      </c>
      <c r="L100" s="4" t="s">
        <v>796</v>
      </c>
      <c r="M100" s="2"/>
      <c r="N100" s="2" t="s">
        <v>102</v>
      </c>
      <c r="O100" s="2"/>
      <c r="P100" s="2" t="s">
        <v>86</v>
      </c>
      <c r="Q100" s="2" t="s">
        <v>87</v>
      </c>
      <c r="R100" s="2" t="s">
        <v>102</v>
      </c>
      <c r="S100" s="2" t="s">
        <v>60</v>
      </c>
      <c r="T100" s="5">
        <v>1.3597222222222223</v>
      </c>
      <c r="U100" s="2" t="s">
        <v>61</v>
      </c>
      <c r="V100" s="2" t="s">
        <v>62</v>
      </c>
    </row>
    <row r="101" spans="1:22" ht="18" customHeight="1" x14ac:dyDescent="0.3">
      <c r="A101" s="2" t="s">
        <v>797</v>
      </c>
      <c r="B101" s="2" t="s">
        <v>798</v>
      </c>
      <c r="C101" s="2" t="s">
        <v>799</v>
      </c>
      <c r="D101" s="2" t="s">
        <v>1321</v>
      </c>
      <c r="E101" s="2" t="s">
        <v>54</v>
      </c>
      <c r="F101" s="2" t="s">
        <v>55</v>
      </c>
      <c r="G101" s="3">
        <v>46182.652881944443</v>
      </c>
      <c r="H101" s="3">
        <v>46184.570231481484</v>
      </c>
      <c r="I101" s="2" t="s">
        <v>97</v>
      </c>
      <c r="J101" s="2">
        <v>3</v>
      </c>
      <c r="K101" s="2" t="s">
        <v>800</v>
      </c>
      <c r="L101" s="2"/>
      <c r="M101" s="2"/>
      <c r="N101" s="2" t="s">
        <v>105</v>
      </c>
      <c r="O101" s="2"/>
      <c r="P101" s="2" t="s">
        <v>98</v>
      </c>
      <c r="Q101" s="2" t="s">
        <v>106</v>
      </c>
      <c r="R101" s="2" t="s">
        <v>105</v>
      </c>
      <c r="S101" s="2" t="s">
        <v>60</v>
      </c>
      <c r="T101" s="6">
        <v>0.79236111111111107</v>
      </c>
      <c r="U101" s="2" t="s">
        <v>61</v>
      </c>
      <c r="V101" s="2" t="s">
        <v>62</v>
      </c>
    </row>
    <row r="102" spans="1:22" ht="18" customHeight="1" x14ac:dyDescent="0.3">
      <c r="A102" s="2" t="s">
        <v>801</v>
      </c>
      <c r="B102" s="2" t="s">
        <v>798</v>
      </c>
      <c r="C102" s="2" t="s">
        <v>799</v>
      </c>
      <c r="D102" s="2" t="s">
        <v>1321</v>
      </c>
      <c r="E102" s="2" t="s">
        <v>54</v>
      </c>
      <c r="F102" s="2" t="s">
        <v>55</v>
      </c>
      <c r="G102" s="3">
        <v>46182.666250000002</v>
      </c>
      <c r="H102" s="3">
        <v>46184.589756944442</v>
      </c>
      <c r="I102" s="2" t="s">
        <v>97</v>
      </c>
      <c r="J102" s="2">
        <v>3</v>
      </c>
      <c r="K102" s="2" t="s">
        <v>802</v>
      </c>
      <c r="L102" s="2"/>
      <c r="M102" s="2"/>
      <c r="N102" s="2" t="s">
        <v>105</v>
      </c>
      <c r="O102" s="2"/>
      <c r="P102" s="2" t="s">
        <v>98</v>
      </c>
      <c r="Q102" s="2" t="s">
        <v>106</v>
      </c>
      <c r="R102" s="2" t="s">
        <v>105</v>
      </c>
      <c r="S102" s="2" t="s">
        <v>60</v>
      </c>
      <c r="T102" s="6">
        <v>0.79861111111111116</v>
      </c>
      <c r="U102" s="2" t="s">
        <v>61</v>
      </c>
      <c r="V102" s="2" t="s">
        <v>62</v>
      </c>
    </row>
    <row r="103" spans="1:22" ht="18" customHeight="1" x14ac:dyDescent="0.3">
      <c r="A103" s="2" t="s">
        <v>803</v>
      </c>
      <c r="B103" s="2" t="s">
        <v>804</v>
      </c>
      <c r="C103" s="2" t="s">
        <v>805</v>
      </c>
      <c r="D103" s="2" t="s">
        <v>1319</v>
      </c>
      <c r="E103" s="2" t="s">
        <v>66</v>
      </c>
      <c r="F103" s="2" t="s">
        <v>76</v>
      </c>
      <c r="G103" s="3">
        <v>46182.667916666665</v>
      </c>
      <c r="H103" s="3">
        <v>46182.67633101852</v>
      </c>
      <c r="I103" s="2" t="s">
        <v>73</v>
      </c>
      <c r="J103" s="2">
        <v>3</v>
      </c>
      <c r="K103" s="2" t="s">
        <v>806</v>
      </c>
      <c r="L103" s="4" t="s">
        <v>807</v>
      </c>
      <c r="M103" s="2"/>
      <c r="N103" s="2" t="s">
        <v>58</v>
      </c>
      <c r="O103" s="2"/>
      <c r="P103" s="2" t="s">
        <v>58</v>
      </c>
      <c r="Q103" s="2" t="s">
        <v>59</v>
      </c>
      <c r="R103" s="2" t="s">
        <v>58</v>
      </c>
      <c r="S103" s="2" t="s">
        <v>60</v>
      </c>
      <c r="T103" s="6">
        <v>9.0277777777777769E-3</v>
      </c>
      <c r="U103" s="2" t="s">
        <v>61</v>
      </c>
      <c r="V103" s="2" t="s">
        <v>62</v>
      </c>
    </row>
    <row r="104" spans="1:22" ht="18" customHeight="1" x14ac:dyDescent="0.3">
      <c r="A104" s="2" t="s">
        <v>808</v>
      </c>
      <c r="B104" s="2" t="s">
        <v>602</v>
      </c>
      <c r="C104" s="2" t="s">
        <v>603</v>
      </c>
      <c r="D104" s="2" t="s">
        <v>1320</v>
      </c>
      <c r="E104" s="2" t="s">
        <v>75</v>
      </c>
      <c r="F104" s="2" t="s">
        <v>55</v>
      </c>
      <c r="G104" s="3">
        <v>46182.685185185182</v>
      </c>
      <c r="H104" s="3">
        <v>46183.569988425923</v>
      </c>
      <c r="I104" s="2" t="s">
        <v>88</v>
      </c>
      <c r="J104" s="2">
        <v>3</v>
      </c>
      <c r="K104" s="2" t="s">
        <v>809</v>
      </c>
      <c r="L104" s="4" t="s">
        <v>810</v>
      </c>
      <c r="M104" s="2"/>
      <c r="N104" s="2" t="s">
        <v>81</v>
      </c>
      <c r="O104" s="2"/>
      <c r="P104" s="2" t="s">
        <v>78</v>
      </c>
      <c r="Q104" s="2" t="s">
        <v>94</v>
      </c>
      <c r="R104" s="2" t="s">
        <v>81</v>
      </c>
      <c r="S104" s="2" t="s">
        <v>60</v>
      </c>
      <c r="T104" s="6">
        <v>0.32291666666666669</v>
      </c>
      <c r="U104" s="2" t="s">
        <v>61</v>
      </c>
      <c r="V104" s="2" t="s">
        <v>62</v>
      </c>
    </row>
    <row r="105" spans="1:22" ht="18" customHeight="1" x14ac:dyDescent="0.3">
      <c r="A105" s="2" t="s">
        <v>811</v>
      </c>
      <c r="B105" s="2" t="s">
        <v>167</v>
      </c>
      <c r="C105" s="2" t="s">
        <v>168</v>
      </c>
      <c r="D105" s="2" t="s">
        <v>1321</v>
      </c>
      <c r="E105" s="2" t="s">
        <v>54</v>
      </c>
      <c r="F105" s="2" t="s">
        <v>55</v>
      </c>
      <c r="G105" s="3">
        <v>46183.357754629629</v>
      </c>
      <c r="H105" s="3">
        <v>46184.532777777778</v>
      </c>
      <c r="I105" s="2" t="s">
        <v>97</v>
      </c>
      <c r="J105" s="2">
        <v>3</v>
      </c>
      <c r="K105" s="2" t="s">
        <v>812</v>
      </c>
      <c r="L105" s="4" t="s">
        <v>813</v>
      </c>
      <c r="M105" s="2"/>
      <c r="N105" s="2" t="s">
        <v>105</v>
      </c>
      <c r="O105" s="2"/>
      <c r="P105" s="2" t="s">
        <v>98</v>
      </c>
      <c r="Q105" s="2" t="s">
        <v>171</v>
      </c>
      <c r="R105" s="2" t="s">
        <v>105</v>
      </c>
      <c r="S105" s="2" t="s">
        <v>60</v>
      </c>
      <c r="T105" s="6">
        <v>0.61319444444444449</v>
      </c>
      <c r="U105" s="2" t="s">
        <v>61</v>
      </c>
      <c r="V105" s="2" t="s">
        <v>62</v>
      </c>
    </row>
    <row r="106" spans="1:22" ht="18" customHeight="1" x14ac:dyDescent="0.3">
      <c r="A106" s="2" t="s">
        <v>814</v>
      </c>
      <c r="B106" s="2" t="s">
        <v>786</v>
      </c>
      <c r="C106" s="2" t="s">
        <v>787</v>
      </c>
      <c r="D106" s="2" t="s">
        <v>1321</v>
      </c>
      <c r="E106" s="2" t="s">
        <v>54</v>
      </c>
      <c r="F106" s="2" t="s">
        <v>55</v>
      </c>
      <c r="G106" s="3">
        <v>46183.375648148147</v>
      </c>
      <c r="H106" s="3">
        <v>46183.455590277779</v>
      </c>
      <c r="I106" s="2" t="s">
        <v>56</v>
      </c>
      <c r="J106" s="2">
        <v>3</v>
      </c>
      <c r="K106" s="2" t="s">
        <v>57</v>
      </c>
      <c r="L106" s="4" t="s">
        <v>192</v>
      </c>
      <c r="M106" s="2"/>
      <c r="N106" s="2" t="s">
        <v>58</v>
      </c>
      <c r="O106" s="2"/>
      <c r="P106" s="2" t="s">
        <v>58</v>
      </c>
      <c r="Q106" s="2" t="s">
        <v>74</v>
      </c>
      <c r="R106" s="2" t="s">
        <v>58</v>
      </c>
      <c r="S106" s="2" t="s">
        <v>60</v>
      </c>
      <c r="T106" s="6">
        <v>8.0555555555555561E-2</v>
      </c>
      <c r="U106" s="2" t="s">
        <v>61</v>
      </c>
      <c r="V106" s="2" t="s">
        <v>62</v>
      </c>
    </row>
    <row r="107" spans="1:22" ht="18" customHeight="1" x14ac:dyDescent="0.3">
      <c r="A107" s="2" t="s">
        <v>815</v>
      </c>
      <c r="B107" s="2" t="s">
        <v>786</v>
      </c>
      <c r="C107" s="2" t="s">
        <v>787</v>
      </c>
      <c r="D107" s="2" t="s">
        <v>1321</v>
      </c>
      <c r="E107" s="2" t="s">
        <v>54</v>
      </c>
      <c r="F107" s="2" t="s">
        <v>55</v>
      </c>
      <c r="G107" s="3">
        <v>46183.375937500001</v>
      </c>
      <c r="H107" s="3">
        <v>46183.595555555556</v>
      </c>
      <c r="I107" s="2" t="s">
        <v>63</v>
      </c>
      <c r="J107" s="2">
        <v>3</v>
      </c>
      <c r="K107" s="2" t="s">
        <v>816</v>
      </c>
      <c r="L107" s="4" t="s">
        <v>183</v>
      </c>
      <c r="M107" s="2"/>
      <c r="N107" s="2" t="s">
        <v>58</v>
      </c>
      <c r="O107" s="2"/>
      <c r="P107" s="2" t="s">
        <v>58</v>
      </c>
      <c r="Q107" s="2" t="s">
        <v>59</v>
      </c>
      <c r="R107" s="2" t="s">
        <v>58</v>
      </c>
      <c r="S107" s="2" t="s">
        <v>60</v>
      </c>
      <c r="T107" s="6">
        <v>0.22013888888888888</v>
      </c>
      <c r="U107" s="2" t="s">
        <v>61</v>
      </c>
      <c r="V107" s="2" t="s">
        <v>62</v>
      </c>
    </row>
    <row r="108" spans="1:22" ht="18" customHeight="1" x14ac:dyDescent="0.3">
      <c r="A108" s="2" t="s">
        <v>817</v>
      </c>
      <c r="B108" s="2" t="s">
        <v>788</v>
      </c>
      <c r="C108" s="2" t="s">
        <v>789</v>
      </c>
      <c r="D108" s="2" t="s">
        <v>1321</v>
      </c>
      <c r="E108" s="2" t="s">
        <v>54</v>
      </c>
      <c r="F108" s="2" t="s">
        <v>55</v>
      </c>
      <c r="G108" s="3">
        <v>46183.376817129632</v>
      </c>
      <c r="H108" s="3">
        <v>46183.453194444446</v>
      </c>
      <c r="I108" s="2" t="s">
        <v>56</v>
      </c>
      <c r="J108" s="2">
        <v>3</v>
      </c>
      <c r="K108" s="2" t="s">
        <v>57</v>
      </c>
      <c r="L108" s="4" t="s">
        <v>192</v>
      </c>
      <c r="M108" s="2"/>
      <c r="N108" s="2" t="s">
        <v>58</v>
      </c>
      <c r="O108" s="2"/>
      <c r="P108" s="2" t="s">
        <v>58</v>
      </c>
      <c r="Q108" s="2" t="s">
        <v>74</v>
      </c>
      <c r="R108" s="2" t="s">
        <v>58</v>
      </c>
      <c r="S108" s="2" t="s">
        <v>60</v>
      </c>
      <c r="T108" s="6">
        <v>7.6388888888888895E-2</v>
      </c>
      <c r="U108" s="2" t="s">
        <v>61</v>
      </c>
      <c r="V108" s="2" t="s">
        <v>62</v>
      </c>
    </row>
    <row r="109" spans="1:22" ht="18" customHeight="1" x14ac:dyDescent="0.3">
      <c r="A109" s="2" t="s">
        <v>818</v>
      </c>
      <c r="B109" s="2" t="s">
        <v>788</v>
      </c>
      <c r="C109" s="2" t="s">
        <v>789</v>
      </c>
      <c r="D109" s="2" t="s">
        <v>1321</v>
      </c>
      <c r="E109" s="2" t="s">
        <v>54</v>
      </c>
      <c r="F109" s="2" t="s">
        <v>55</v>
      </c>
      <c r="G109" s="3">
        <v>46183.377060185187</v>
      </c>
      <c r="H109" s="3">
        <v>46183.59443287037</v>
      </c>
      <c r="I109" s="2" t="s">
        <v>63</v>
      </c>
      <c r="J109" s="2">
        <v>3</v>
      </c>
      <c r="K109" s="2" t="s">
        <v>816</v>
      </c>
      <c r="L109" s="4" t="s">
        <v>183</v>
      </c>
      <c r="M109" s="2"/>
      <c r="N109" s="2" t="s">
        <v>58</v>
      </c>
      <c r="O109" s="2"/>
      <c r="P109" s="2" t="s">
        <v>58</v>
      </c>
      <c r="Q109" s="2" t="s">
        <v>59</v>
      </c>
      <c r="R109" s="2" t="s">
        <v>58</v>
      </c>
      <c r="S109" s="2" t="s">
        <v>60</v>
      </c>
      <c r="T109" s="6">
        <v>0.21805555555555556</v>
      </c>
      <c r="U109" s="2" t="s">
        <v>61</v>
      </c>
      <c r="V109" s="2" t="s">
        <v>62</v>
      </c>
    </row>
    <row r="110" spans="1:22" ht="18" customHeight="1" x14ac:dyDescent="0.3">
      <c r="A110" s="2" t="s">
        <v>819</v>
      </c>
      <c r="B110" s="2" t="s">
        <v>820</v>
      </c>
      <c r="C110" s="2" t="s">
        <v>821</v>
      </c>
      <c r="D110" s="2" t="s">
        <v>1320</v>
      </c>
      <c r="E110" s="2" t="s">
        <v>75</v>
      </c>
      <c r="F110" s="2" t="s">
        <v>55</v>
      </c>
      <c r="G110" s="3">
        <v>46183.379201388889</v>
      </c>
      <c r="H110" s="3">
        <v>46185.592164351852</v>
      </c>
      <c r="I110" s="2" t="s">
        <v>88</v>
      </c>
      <c r="J110" s="2">
        <v>3</v>
      </c>
      <c r="K110" s="2" t="s">
        <v>809</v>
      </c>
      <c r="L110" s="4" t="s">
        <v>822</v>
      </c>
      <c r="M110" s="2"/>
      <c r="N110" s="2" t="s">
        <v>81</v>
      </c>
      <c r="O110" s="2"/>
      <c r="P110" s="2" t="s">
        <v>78</v>
      </c>
      <c r="Q110" s="2" t="s">
        <v>94</v>
      </c>
      <c r="R110" s="2" t="s">
        <v>81</v>
      </c>
      <c r="S110" s="2" t="s">
        <v>60</v>
      </c>
      <c r="T110" s="5">
        <v>1.0881944444444445</v>
      </c>
      <c r="U110" s="2" t="s">
        <v>61</v>
      </c>
      <c r="V110" s="2" t="s">
        <v>62</v>
      </c>
    </row>
    <row r="111" spans="1:22" ht="18" customHeight="1" x14ac:dyDescent="0.3">
      <c r="A111" s="2" t="s">
        <v>823</v>
      </c>
      <c r="B111" s="2" t="s">
        <v>755</v>
      </c>
      <c r="C111" s="2" t="s">
        <v>756</v>
      </c>
      <c r="D111" s="2" t="s">
        <v>1142</v>
      </c>
      <c r="E111" s="2" t="s">
        <v>72</v>
      </c>
      <c r="F111" s="2" t="s">
        <v>55</v>
      </c>
      <c r="G111" s="3">
        <v>46183.402094907404</v>
      </c>
      <c r="H111" s="3">
        <v>46185.619780092595</v>
      </c>
      <c r="I111" s="2" t="s">
        <v>77</v>
      </c>
      <c r="J111" s="2">
        <v>3</v>
      </c>
      <c r="K111" s="2" t="s">
        <v>824</v>
      </c>
      <c r="L111" s="4" t="s">
        <v>184</v>
      </c>
      <c r="M111" s="2"/>
      <c r="N111" s="2" t="s">
        <v>81</v>
      </c>
      <c r="O111" s="2"/>
      <c r="P111" s="2" t="s">
        <v>78</v>
      </c>
      <c r="Q111" s="2" t="s">
        <v>94</v>
      </c>
      <c r="R111" s="2" t="s">
        <v>81</v>
      </c>
      <c r="S111" s="2" t="s">
        <v>60</v>
      </c>
      <c r="T111" s="5">
        <v>1.0930555555555554</v>
      </c>
      <c r="U111" s="2" t="s">
        <v>61</v>
      </c>
      <c r="V111" s="2" t="s">
        <v>62</v>
      </c>
    </row>
    <row r="112" spans="1:22" ht="18" customHeight="1" x14ac:dyDescent="0.3">
      <c r="A112" s="2" t="s">
        <v>825</v>
      </c>
      <c r="B112" s="2" t="s">
        <v>826</v>
      </c>
      <c r="C112" s="2" t="s">
        <v>827</v>
      </c>
      <c r="D112" s="2" t="s">
        <v>1321</v>
      </c>
      <c r="E112" s="2" t="s">
        <v>54</v>
      </c>
      <c r="F112" s="2" t="s">
        <v>55</v>
      </c>
      <c r="G112" s="3">
        <v>46183.403564814813</v>
      </c>
      <c r="H112" s="3">
        <v>46198.676145833335</v>
      </c>
      <c r="I112" s="2" t="s">
        <v>123</v>
      </c>
      <c r="J112" s="2">
        <v>3</v>
      </c>
      <c r="K112" s="2" t="s">
        <v>201</v>
      </c>
      <c r="L112" s="4" t="s">
        <v>828</v>
      </c>
      <c r="M112" s="2"/>
      <c r="N112" s="2" t="s">
        <v>78</v>
      </c>
      <c r="O112" s="2"/>
      <c r="P112" s="2" t="s">
        <v>78</v>
      </c>
      <c r="Q112" s="2" t="s">
        <v>94</v>
      </c>
      <c r="R112" s="2" t="s">
        <v>78</v>
      </c>
      <c r="S112" s="2" t="s">
        <v>60</v>
      </c>
      <c r="T112" s="5">
        <v>5.0854166666666663</v>
      </c>
      <c r="U112" s="2" t="s">
        <v>61</v>
      </c>
      <c r="V112" s="2" t="s">
        <v>62</v>
      </c>
    </row>
    <row r="113" spans="1:22" ht="18" customHeight="1" x14ac:dyDescent="0.3">
      <c r="A113" s="2" t="s">
        <v>829</v>
      </c>
      <c r="B113" s="2" t="s">
        <v>738</v>
      </c>
      <c r="C113" s="2" t="s">
        <v>739</v>
      </c>
      <c r="D113" s="2" t="s">
        <v>1149</v>
      </c>
      <c r="E113" s="2" t="s">
        <v>54</v>
      </c>
      <c r="F113" s="2" t="s">
        <v>76</v>
      </c>
      <c r="G113" s="3">
        <v>46183.407256944447</v>
      </c>
      <c r="H113" s="3">
        <v>46185.622430555559</v>
      </c>
      <c r="I113" s="2" t="s">
        <v>84</v>
      </c>
      <c r="J113" s="2">
        <v>3</v>
      </c>
      <c r="K113" s="2" t="s">
        <v>85</v>
      </c>
      <c r="L113" s="4" t="s">
        <v>830</v>
      </c>
      <c r="M113" s="2"/>
      <c r="N113" s="2" t="s">
        <v>102</v>
      </c>
      <c r="O113" s="2"/>
      <c r="P113" s="2" t="s">
        <v>86</v>
      </c>
      <c r="Q113" s="2" t="s">
        <v>87</v>
      </c>
      <c r="R113" s="2" t="s">
        <v>102</v>
      </c>
      <c r="S113" s="2" t="s">
        <v>60</v>
      </c>
      <c r="T113" s="5">
        <v>1.0902777777777777</v>
      </c>
      <c r="U113" s="2" t="s">
        <v>61</v>
      </c>
      <c r="V113" s="2" t="s">
        <v>62</v>
      </c>
    </row>
    <row r="114" spans="1:22" ht="18" customHeight="1" x14ac:dyDescent="0.3">
      <c r="A114" s="2" t="s">
        <v>831</v>
      </c>
      <c r="B114" s="2" t="s">
        <v>167</v>
      </c>
      <c r="C114" s="2" t="s">
        <v>168</v>
      </c>
      <c r="D114" s="2" t="s">
        <v>1321</v>
      </c>
      <c r="E114" s="2" t="s">
        <v>54</v>
      </c>
      <c r="F114" s="2" t="s">
        <v>55</v>
      </c>
      <c r="G114" s="3">
        <v>46183.423541666663</v>
      </c>
      <c r="H114" s="3">
        <v>46183.521458333336</v>
      </c>
      <c r="I114" s="2" t="s">
        <v>70</v>
      </c>
      <c r="J114" s="2">
        <v>3</v>
      </c>
      <c r="K114" s="2" t="s">
        <v>832</v>
      </c>
      <c r="L114" s="4" t="s">
        <v>833</v>
      </c>
      <c r="M114" s="2"/>
      <c r="N114" s="2" t="s">
        <v>71</v>
      </c>
      <c r="O114" s="2"/>
      <c r="P114" s="2" t="s">
        <v>71</v>
      </c>
      <c r="Q114" s="2" t="s">
        <v>200</v>
      </c>
      <c r="R114" s="2" t="s">
        <v>71</v>
      </c>
      <c r="S114" s="2" t="s">
        <v>60</v>
      </c>
      <c r="T114" s="6">
        <v>9.7916666666666666E-2</v>
      </c>
      <c r="U114" s="2" t="s">
        <v>61</v>
      </c>
      <c r="V114" s="2" t="s">
        <v>62</v>
      </c>
    </row>
    <row r="115" spans="1:22" ht="18" customHeight="1" x14ac:dyDescent="0.3">
      <c r="A115" s="2" t="s">
        <v>834</v>
      </c>
      <c r="B115" s="2" t="s">
        <v>835</v>
      </c>
      <c r="C115" s="2" t="s">
        <v>836</v>
      </c>
      <c r="D115" s="2" t="s">
        <v>1142</v>
      </c>
      <c r="E115" s="2" t="s">
        <v>72</v>
      </c>
      <c r="F115" s="2" t="s">
        <v>55</v>
      </c>
      <c r="G115" s="3">
        <v>46183.427025462966</v>
      </c>
      <c r="H115" s="3">
        <v>46204.429895833331</v>
      </c>
      <c r="I115" s="2" t="s">
        <v>99</v>
      </c>
      <c r="J115" s="2">
        <v>3</v>
      </c>
      <c r="K115" s="2" t="s">
        <v>837</v>
      </c>
      <c r="L115" s="4" t="s">
        <v>838</v>
      </c>
      <c r="M115" s="2"/>
      <c r="N115" s="2" t="s">
        <v>78</v>
      </c>
      <c r="O115" s="2"/>
      <c r="P115" s="2" t="s">
        <v>78</v>
      </c>
      <c r="Q115" s="2" t="s">
        <v>94</v>
      </c>
      <c r="R115" s="2" t="s">
        <v>78</v>
      </c>
      <c r="S115" s="2" t="s">
        <v>60</v>
      </c>
      <c r="T115" s="5">
        <v>3.0465277777777779</v>
      </c>
      <c r="U115" s="2" t="s">
        <v>108</v>
      </c>
      <c r="V115" s="2" t="s">
        <v>62</v>
      </c>
    </row>
    <row r="116" spans="1:22" ht="18" customHeight="1" x14ac:dyDescent="0.3">
      <c r="A116" s="2" t="s">
        <v>839</v>
      </c>
      <c r="B116" s="2" t="s">
        <v>840</v>
      </c>
      <c r="C116" s="2" t="s">
        <v>841</v>
      </c>
      <c r="D116" s="2" t="s">
        <v>1318</v>
      </c>
      <c r="E116" s="2" t="s">
        <v>72</v>
      </c>
      <c r="F116" s="2" t="s">
        <v>55</v>
      </c>
      <c r="G116" s="3">
        <v>46183.450196759259</v>
      </c>
      <c r="H116" s="3">
        <v>46202.385231481479</v>
      </c>
      <c r="I116" s="2" t="s">
        <v>99</v>
      </c>
      <c r="J116" s="2">
        <v>2</v>
      </c>
      <c r="K116" s="2" t="s">
        <v>842</v>
      </c>
      <c r="L116" s="4" t="s">
        <v>843</v>
      </c>
      <c r="M116" s="2"/>
      <c r="N116" s="2" t="s">
        <v>78</v>
      </c>
      <c r="O116" s="2"/>
      <c r="P116" s="2" t="s">
        <v>78</v>
      </c>
      <c r="Q116" s="2" t="s">
        <v>94</v>
      </c>
      <c r="R116" s="2" t="s">
        <v>78</v>
      </c>
      <c r="S116" s="2" t="s">
        <v>60</v>
      </c>
      <c r="T116" s="5">
        <v>2.6979166666666665</v>
      </c>
      <c r="U116" s="2" t="s">
        <v>108</v>
      </c>
      <c r="V116" s="2" t="s">
        <v>62</v>
      </c>
    </row>
    <row r="117" spans="1:22" ht="18" customHeight="1" x14ac:dyDescent="0.3">
      <c r="A117" s="2" t="s">
        <v>844</v>
      </c>
      <c r="B117" s="2" t="s">
        <v>845</v>
      </c>
      <c r="C117" s="2" t="s">
        <v>846</v>
      </c>
      <c r="D117" s="2" t="s">
        <v>1319</v>
      </c>
      <c r="E117" s="2" t="s">
        <v>66</v>
      </c>
      <c r="F117" s="2" t="s">
        <v>67</v>
      </c>
      <c r="G117" s="3">
        <v>46183.452465277776</v>
      </c>
      <c r="H117" s="3">
        <v>46184.459837962961</v>
      </c>
      <c r="I117" s="2" t="s">
        <v>73</v>
      </c>
      <c r="J117" s="2">
        <v>2</v>
      </c>
      <c r="K117" s="2" t="s">
        <v>847</v>
      </c>
      <c r="L117" s="4" t="s">
        <v>183</v>
      </c>
      <c r="M117" s="2"/>
      <c r="N117" s="2" t="s">
        <v>58</v>
      </c>
      <c r="O117" s="2"/>
      <c r="P117" s="2" t="s">
        <v>58</v>
      </c>
      <c r="Q117" s="2" t="s">
        <v>59</v>
      </c>
      <c r="R117" s="2" t="s">
        <v>58</v>
      </c>
      <c r="S117" s="2" t="s">
        <v>60</v>
      </c>
      <c r="T117" s="6">
        <v>0.44513888888888886</v>
      </c>
      <c r="U117" s="2" t="s">
        <v>61</v>
      </c>
      <c r="V117" s="2" t="s">
        <v>62</v>
      </c>
    </row>
    <row r="118" spans="1:22" ht="18" customHeight="1" x14ac:dyDescent="0.3">
      <c r="A118" s="2" t="s">
        <v>848</v>
      </c>
      <c r="B118" s="2" t="s">
        <v>849</v>
      </c>
      <c r="C118" s="2" t="s">
        <v>850</v>
      </c>
      <c r="D118" s="2" t="s">
        <v>1319</v>
      </c>
      <c r="E118" s="2" t="s">
        <v>66</v>
      </c>
      <c r="F118" s="2" t="s">
        <v>67</v>
      </c>
      <c r="G118" s="3">
        <v>46183.455543981479</v>
      </c>
      <c r="H118" s="3">
        <v>46184.460636574076</v>
      </c>
      <c r="I118" s="2" t="s">
        <v>73</v>
      </c>
      <c r="J118" s="2">
        <v>3</v>
      </c>
      <c r="K118" s="2" t="s">
        <v>851</v>
      </c>
      <c r="L118" s="4" t="s">
        <v>183</v>
      </c>
      <c r="M118" s="2"/>
      <c r="N118" s="2" t="s">
        <v>58</v>
      </c>
      <c r="O118" s="2"/>
      <c r="P118" s="2" t="s">
        <v>58</v>
      </c>
      <c r="Q118" s="2" t="s">
        <v>59</v>
      </c>
      <c r="R118" s="2" t="s">
        <v>58</v>
      </c>
      <c r="S118" s="2" t="s">
        <v>60</v>
      </c>
      <c r="T118" s="6">
        <v>0.44305555555555554</v>
      </c>
      <c r="U118" s="2" t="s">
        <v>61</v>
      </c>
      <c r="V118" s="2" t="s">
        <v>62</v>
      </c>
    </row>
    <row r="119" spans="1:22" ht="18" customHeight="1" x14ac:dyDescent="0.3">
      <c r="A119" s="2" t="s">
        <v>852</v>
      </c>
      <c r="B119" s="2" t="s">
        <v>853</v>
      </c>
      <c r="C119" s="2" t="s">
        <v>854</v>
      </c>
      <c r="D119" s="2" t="s">
        <v>1319</v>
      </c>
      <c r="E119" s="2" t="s">
        <v>66</v>
      </c>
      <c r="F119" s="2" t="s">
        <v>67</v>
      </c>
      <c r="G119" s="3">
        <v>46183.470173611109</v>
      </c>
      <c r="H119" s="3">
        <v>46183.527025462965</v>
      </c>
      <c r="I119" s="2" t="s">
        <v>112</v>
      </c>
      <c r="J119" s="2">
        <v>3</v>
      </c>
      <c r="K119" s="2" t="s">
        <v>855</v>
      </c>
      <c r="L119" s="4" t="s">
        <v>667</v>
      </c>
      <c r="M119" s="2"/>
      <c r="N119" s="2" t="s">
        <v>78</v>
      </c>
      <c r="O119" s="2"/>
      <c r="P119" s="2" t="s">
        <v>79</v>
      </c>
      <c r="Q119" s="2" t="s">
        <v>80</v>
      </c>
      <c r="R119" s="2" t="s">
        <v>78</v>
      </c>
      <c r="S119" s="2" t="s">
        <v>60</v>
      </c>
      <c r="T119" s="6">
        <v>5.6944444444444443E-2</v>
      </c>
      <c r="U119" s="2" t="s">
        <v>61</v>
      </c>
      <c r="V119" s="2" t="s">
        <v>62</v>
      </c>
    </row>
    <row r="120" spans="1:22" ht="18" customHeight="1" x14ac:dyDescent="0.3">
      <c r="A120" s="2" t="s">
        <v>856</v>
      </c>
      <c r="B120" s="2" t="s">
        <v>857</v>
      </c>
      <c r="C120" s="2" t="s">
        <v>858</v>
      </c>
      <c r="D120" s="2" t="s">
        <v>1319</v>
      </c>
      <c r="E120" s="2" t="s">
        <v>66</v>
      </c>
      <c r="F120" s="2" t="s">
        <v>76</v>
      </c>
      <c r="G120" s="3">
        <v>46183.481886574074</v>
      </c>
      <c r="H120" s="3">
        <v>46183.585682870369</v>
      </c>
      <c r="I120" s="2" t="s">
        <v>162</v>
      </c>
      <c r="J120" s="2">
        <v>3</v>
      </c>
      <c r="K120" s="2" t="s">
        <v>859</v>
      </c>
      <c r="L120" s="4" t="s">
        <v>860</v>
      </c>
      <c r="M120" s="2"/>
      <c r="N120" s="2" t="s">
        <v>58</v>
      </c>
      <c r="O120" s="2"/>
      <c r="P120" s="2" t="s">
        <v>58</v>
      </c>
      <c r="Q120" s="2" t="s">
        <v>59</v>
      </c>
      <c r="R120" s="2" t="s">
        <v>58</v>
      </c>
      <c r="S120" s="2" t="s">
        <v>60</v>
      </c>
      <c r="T120" s="6">
        <v>0.10416666666666667</v>
      </c>
      <c r="U120" s="2" t="s">
        <v>61</v>
      </c>
      <c r="V120" s="2" t="s">
        <v>62</v>
      </c>
    </row>
    <row r="121" spans="1:22" ht="18" customHeight="1" x14ac:dyDescent="0.3">
      <c r="A121" s="2" t="s">
        <v>861</v>
      </c>
      <c r="B121" s="2" t="s">
        <v>857</v>
      </c>
      <c r="C121" s="2" t="s">
        <v>858</v>
      </c>
      <c r="D121" s="2" t="s">
        <v>1319</v>
      </c>
      <c r="E121" s="2" t="s">
        <v>66</v>
      </c>
      <c r="F121" s="2" t="s">
        <v>76</v>
      </c>
      <c r="G121" s="3">
        <v>46183.486342592594</v>
      </c>
      <c r="H121" s="3">
        <v>46183.579918981479</v>
      </c>
      <c r="I121" s="2" t="s">
        <v>162</v>
      </c>
      <c r="J121" s="2">
        <v>3</v>
      </c>
      <c r="K121" s="2" t="s">
        <v>862</v>
      </c>
      <c r="L121" s="4" t="s">
        <v>863</v>
      </c>
      <c r="M121" s="2"/>
      <c r="N121" s="2" t="s">
        <v>58</v>
      </c>
      <c r="O121" s="2"/>
      <c r="P121" s="2" t="s">
        <v>58</v>
      </c>
      <c r="Q121" s="2" t="s">
        <v>59</v>
      </c>
      <c r="R121" s="2" t="s">
        <v>58</v>
      </c>
      <c r="S121" s="2" t="s">
        <v>60</v>
      </c>
      <c r="T121" s="6">
        <v>9.375E-2</v>
      </c>
      <c r="U121" s="2" t="s">
        <v>61</v>
      </c>
      <c r="V121" s="2" t="s">
        <v>62</v>
      </c>
    </row>
    <row r="122" spans="1:22" ht="18" customHeight="1" x14ac:dyDescent="0.3">
      <c r="A122" s="2" t="s">
        <v>864</v>
      </c>
      <c r="B122" s="2" t="s">
        <v>111</v>
      </c>
      <c r="C122" s="2" t="s">
        <v>152</v>
      </c>
      <c r="D122" s="2" t="s">
        <v>1321</v>
      </c>
      <c r="E122" s="2" t="s">
        <v>54</v>
      </c>
      <c r="F122" s="2" t="s">
        <v>55</v>
      </c>
      <c r="G122" s="3">
        <v>46183.593611111108</v>
      </c>
      <c r="H122" s="3">
        <v>46184.286319444444</v>
      </c>
      <c r="I122" s="2" t="s">
        <v>275</v>
      </c>
      <c r="J122" s="2">
        <v>3</v>
      </c>
      <c r="K122" s="2" t="s">
        <v>865</v>
      </c>
      <c r="L122" s="2"/>
      <c r="M122" s="2"/>
      <c r="N122" s="2" t="s">
        <v>126</v>
      </c>
      <c r="O122" s="2" t="s">
        <v>126</v>
      </c>
      <c r="P122" s="2" t="s">
        <v>126</v>
      </c>
      <c r="Q122" s="2" t="s">
        <v>225</v>
      </c>
      <c r="R122" s="2" t="s">
        <v>126</v>
      </c>
      <c r="S122" s="2" t="s">
        <v>60</v>
      </c>
      <c r="T122" s="6">
        <v>0</v>
      </c>
      <c r="U122" s="2" t="s">
        <v>61</v>
      </c>
      <c r="V122" s="2" t="s">
        <v>276</v>
      </c>
    </row>
    <row r="123" spans="1:22" ht="18" customHeight="1" x14ac:dyDescent="0.3">
      <c r="A123" s="2" t="s">
        <v>866</v>
      </c>
      <c r="B123" s="2" t="s">
        <v>867</v>
      </c>
      <c r="C123" s="2" t="s">
        <v>868</v>
      </c>
      <c r="D123" s="2" t="s">
        <v>1320</v>
      </c>
      <c r="E123" s="2" t="s">
        <v>75</v>
      </c>
      <c r="F123" s="2" t="s">
        <v>55</v>
      </c>
      <c r="G123" s="3">
        <v>46183.597581018519</v>
      </c>
      <c r="H123" s="3">
        <v>46189.500509259262</v>
      </c>
      <c r="I123" s="2" t="s">
        <v>97</v>
      </c>
      <c r="J123" s="2">
        <v>2</v>
      </c>
      <c r="K123" s="2" t="s">
        <v>869</v>
      </c>
      <c r="L123" s="4" t="s">
        <v>870</v>
      </c>
      <c r="M123" s="2"/>
      <c r="N123" s="2" t="s">
        <v>105</v>
      </c>
      <c r="O123" s="2"/>
      <c r="P123" s="2" t="s">
        <v>98</v>
      </c>
      <c r="Q123" s="2" t="s">
        <v>664</v>
      </c>
      <c r="R123" s="2" t="s">
        <v>105</v>
      </c>
      <c r="S123" s="2" t="s">
        <v>60</v>
      </c>
      <c r="T123" s="5">
        <v>1.1402777777777777</v>
      </c>
      <c r="U123" s="2" t="s">
        <v>61</v>
      </c>
      <c r="V123" s="2" t="s">
        <v>62</v>
      </c>
    </row>
    <row r="124" spans="1:22" ht="18" customHeight="1" x14ac:dyDescent="0.3">
      <c r="A124" s="2" t="s">
        <v>871</v>
      </c>
      <c r="B124" s="2" t="s">
        <v>867</v>
      </c>
      <c r="C124" s="2" t="s">
        <v>868</v>
      </c>
      <c r="D124" s="2" t="s">
        <v>1320</v>
      </c>
      <c r="E124" s="2" t="s">
        <v>75</v>
      </c>
      <c r="F124" s="2" t="s">
        <v>55</v>
      </c>
      <c r="G124" s="3">
        <v>46183.599745370368</v>
      </c>
      <c r="H124" s="3">
        <v>46189.501909722225</v>
      </c>
      <c r="I124" s="2" t="s">
        <v>97</v>
      </c>
      <c r="J124" s="2">
        <v>2</v>
      </c>
      <c r="K124" s="2" t="s">
        <v>872</v>
      </c>
      <c r="L124" s="2"/>
      <c r="M124" s="2"/>
      <c r="N124" s="2" t="s">
        <v>105</v>
      </c>
      <c r="O124" s="2"/>
      <c r="P124" s="2" t="s">
        <v>98</v>
      </c>
      <c r="Q124" s="2" t="s">
        <v>664</v>
      </c>
      <c r="R124" s="2" t="s">
        <v>105</v>
      </c>
      <c r="S124" s="2" t="s">
        <v>60</v>
      </c>
      <c r="T124" s="5">
        <v>1.1409722222222223</v>
      </c>
      <c r="U124" s="2" t="s">
        <v>61</v>
      </c>
      <c r="V124" s="2" t="s">
        <v>62</v>
      </c>
    </row>
    <row r="125" spans="1:22" ht="18" customHeight="1" x14ac:dyDescent="0.3">
      <c r="A125" s="2" t="s">
        <v>873</v>
      </c>
      <c r="B125" s="2" t="s">
        <v>867</v>
      </c>
      <c r="C125" s="2" t="s">
        <v>868</v>
      </c>
      <c r="D125" s="2" t="s">
        <v>1320</v>
      </c>
      <c r="E125" s="2" t="s">
        <v>75</v>
      </c>
      <c r="F125" s="2" t="s">
        <v>55</v>
      </c>
      <c r="G125" s="3">
        <v>46183.601956018516</v>
      </c>
      <c r="H125" s="3">
        <v>46189.502962962964</v>
      </c>
      <c r="I125" s="2" t="s">
        <v>97</v>
      </c>
      <c r="J125" s="2">
        <v>2</v>
      </c>
      <c r="K125" s="2" t="s">
        <v>874</v>
      </c>
      <c r="L125" s="2"/>
      <c r="M125" s="2"/>
      <c r="N125" s="2" t="s">
        <v>105</v>
      </c>
      <c r="O125" s="2"/>
      <c r="P125" s="2" t="s">
        <v>98</v>
      </c>
      <c r="Q125" s="2" t="s">
        <v>664</v>
      </c>
      <c r="R125" s="2" t="s">
        <v>105</v>
      </c>
      <c r="S125" s="2" t="s">
        <v>60</v>
      </c>
      <c r="T125" s="5">
        <v>1.1395833333333334</v>
      </c>
      <c r="U125" s="2" t="s">
        <v>61</v>
      </c>
      <c r="V125" s="2" t="s">
        <v>62</v>
      </c>
    </row>
    <row r="126" spans="1:22" ht="18" customHeight="1" x14ac:dyDescent="0.3">
      <c r="A126" s="2" t="s">
        <v>875</v>
      </c>
      <c r="B126" s="2" t="s">
        <v>867</v>
      </c>
      <c r="C126" s="2" t="s">
        <v>868</v>
      </c>
      <c r="D126" s="2" t="s">
        <v>1320</v>
      </c>
      <c r="E126" s="2" t="s">
        <v>75</v>
      </c>
      <c r="F126" s="2" t="s">
        <v>55</v>
      </c>
      <c r="G126" s="3">
        <v>46183.603379629632</v>
      </c>
      <c r="H126" s="3">
        <v>46203.669733796298</v>
      </c>
      <c r="I126" s="2" t="s">
        <v>97</v>
      </c>
      <c r="J126" s="2">
        <v>2</v>
      </c>
      <c r="K126" s="2" t="s">
        <v>876</v>
      </c>
      <c r="L126" s="2"/>
      <c r="M126" s="2"/>
      <c r="N126" s="2" t="s">
        <v>105</v>
      </c>
      <c r="O126" s="2"/>
      <c r="P126" s="2" t="s">
        <v>98</v>
      </c>
      <c r="Q126" s="2" t="s">
        <v>106</v>
      </c>
      <c r="R126" s="2" t="s">
        <v>105</v>
      </c>
      <c r="S126" s="2" t="s">
        <v>60</v>
      </c>
      <c r="T126" s="5">
        <v>1.9006944444444445</v>
      </c>
      <c r="U126" s="2" t="s">
        <v>108</v>
      </c>
      <c r="V126" s="2" t="s">
        <v>62</v>
      </c>
    </row>
    <row r="127" spans="1:22" ht="18" customHeight="1" x14ac:dyDescent="0.3">
      <c r="A127" s="2" t="s">
        <v>877</v>
      </c>
      <c r="B127" s="2" t="s">
        <v>878</v>
      </c>
      <c r="C127" s="2" t="s">
        <v>879</v>
      </c>
      <c r="D127" s="2" t="s">
        <v>1319</v>
      </c>
      <c r="E127" s="2" t="s">
        <v>66</v>
      </c>
      <c r="F127" s="2" t="s">
        <v>76</v>
      </c>
      <c r="G127" s="3">
        <v>46183.610960648148</v>
      </c>
      <c r="H127" s="3">
        <v>46185.38690972222</v>
      </c>
      <c r="I127" s="2" t="s">
        <v>154</v>
      </c>
      <c r="J127" s="2">
        <v>3</v>
      </c>
      <c r="K127" s="2" t="s">
        <v>155</v>
      </c>
      <c r="L127" s="4" t="s">
        <v>880</v>
      </c>
      <c r="M127" s="2"/>
      <c r="N127" s="2" t="s">
        <v>81</v>
      </c>
      <c r="O127" s="2"/>
      <c r="P127" s="2" t="s">
        <v>156</v>
      </c>
      <c r="Q127" s="2" t="s">
        <v>153</v>
      </c>
      <c r="R127" s="2" t="s">
        <v>81</v>
      </c>
      <c r="S127" s="2" t="s">
        <v>60</v>
      </c>
      <c r="T127" s="6">
        <v>0.65138888888888891</v>
      </c>
      <c r="U127" s="2" t="s">
        <v>61</v>
      </c>
      <c r="V127" s="2" t="s">
        <v>62</v>
      </c>
    </row>
    <row r="128" spans="1:22" ht="18" customHeight="1" x14ac:dyDescent="0.3">
      <c r="A128" s="2" t="s">
        <v>881</v>
      </c>
      <c r="B128" s="2" t="s">
        <v>882</v>
      </c>
      <c r="C128" s="2" t="s">
        <v>883</v>
      </c>
      <c r="D128" s="2" t="s">
        <v>1319</v>
      </c>
      <c r="E128" s="2" t="s">
        <v>66</v>
      </c>
      <c r="F128" s="2" t="s">
        <v>76</v>
      </c>
      <c r="G128" s="3">
        <v>46183.620706018519</v>
      </c>
      <c r="H128" s="3">
        <v>46185.388009259259</v>
      </c>
      <c r="I128" s="2" t="s">
        <v>154</v>
      </c>
      <c r="J128" s="2">
        <v>3</v>
      </c>
      <c r="K128" s="2" t="s">
        <v>155</v>
      </c>
      <c r="L128" s="4" t="s">
        <v>372</v>
      </c>
      <c r="M128" s="2"/>
      <c r="N128" s="2" t="s">
        <v>81</v>
      </c>
      <c r="O128" s="2"/>
      <c r="P128" s="2" t="s">
        <v>156</v>
      </c>
      <c r="Q128" s="2" t="s">
        <v>153</v>
      </c>
      <c r="R128" s="2" t="s">
        <v>81</v>
      </c>
      <c r="S128" s="2" t="s">
        <v>60</v>
      </c>
      <c r="T128" s="6">
        <v>0.64236111111111116</v>
      </c>
      <c r="U128" s="2" t="s">
        <v>61</v>
      </c>
      <c r="V128" s="2" t="s">
        <v>62</v>
      </c>
    </row>
    <row r="129" spans="1:22" ht="18" customHeight="1" x14ac:dyDescent="0.3">
      <c r="A129" s="2" t="s">
        <v>884</v>
      </c>
      <c r="B129" s="2" t="s">
        <v>636</v>
      </c>
      <c r="C129" s="2" t="s">
        <v>637</v>
      </c>
      <c r="D129" s="2" t="s">
        <v>1318</v>
      </c>
      <c r="E129" s="2" t="s">
        <v>72</v>
      </c>
      <c r="F129" s="2" t="s">
        <v>76</v>
      </c>
      <c r="G129" s="3">
        <v>46183.658078703702</v>
      </c>
      <c r="H129" s="3">
        <v>46196.427152777775</v>
      </c>
      <c r="I129" s="2" t="s">
        <v>77</v>
      </c>
      <c r="J129" s="2">
        <v>3</v>
      </c>
      <c r="K129" s="2" t="s">
        <v>885</v>
      </c>
      <c r="L129" s="4" t="s">
        <v>886</v>
      </c>
      <c r="M129" s="2"/>
      <c r="N129" s="2" t="s">
        <v>81</v>
      </c>
      <c r="O129" s="2"/>
      <c r="P129" s="2" t="s">
        <v>81</v>
      </c>
      <c r="Q129" s="2" t="s">
        <v>90</v>
      </c>
      <c r="R129" s="2" t="s">
        <v>81</v>
      </c>
      <c r="S129" s="2" t="s">
        <v>60</v>
      </c>
      <c r="T129" s="5">
        <v>2.9513888888888888</v>
      </c>
      <c r="U129" s="2" t="s">
        <v>61</v>
      </c>
      <c r="V129" s="2" t="s">
        <v>62</v>
      </c>
    </row>
    <row r="130" spans="1:22" ht="18" customHeight="1" x14ac:dyDescent="0.3">
      <c r="A130" s="2" t="s">
        <v>887</v>
      </c>
      <c r="B130" s="2" t="s">
        <v>68</v>
      </c>
      <c r="C130" s="2" t="s">
        <v>69</v>
      </c>
      <c r="D130" s="2" t="s">
        <v>1321</v>
      </c>
      <c r="E130" s="2" t="s">
        <v>54</v>
      </c>
      <c r="F130" s="2" t="s">
        <v>55</v>
      </c>
      <c r="G130" s="3">
        <v>46183.660439814812</v>
      </c>
      <c r="H130" s="3">
        <v>46190.434918981482</v>
      </c>
      <c r="I130" s="2" t="s">
        <v>487</v>
      </c>
      <c r="J130" s="2">
        <v>2</v>
      </c>
      <c r="K130" s="2" t="s">
        <v>888</v>
      </c>
      <c r="L130" s="4" t="s">
        <v>889</v>
      </c>
      <c r="M130" s="2"/>
      <c r="N130" s="2" t="s">
        <v>71</v>
      </c>
      <c r="O130" s="2"/>
      <c r="P130" s="2" t="s">
        <v>71</v>
      </c>
      <c r="Q130" s="2" t="s">
        <v>139</v>
      </c>
      <c r="R130" s="2" t="s">
        <v>71</v>
      </c>
      <c r="S130" s="2" t="s">
        <v>60</v>
      </c>
      <c r="T130" s="5">
        <v>1.9624999999999999</v>
      </c>
      <c r="U130" s="2" t="s">
        <v>61</v>
      </c>
      <c r="V130" s="2" t="s">
        <v>62</v>
      </c>
    </row>
    <row r="131" spans="1:22" ht="18" customHeight="1" x14ac:dyDescent="0.3">
      <c r="A131" s="2" t="s">
        <v>890</v>
      </c>
      <c r="B131" s="2" t="s">
        <v>68</v>
      </c>
      <c r="C131" s="2" t="s">
        <v>69</v>
      </c>
      <c r="D131" s="2" t="s">
        <v>1321</v>
      </c>
      <c r="E131" s="2" t="s">
        <v>54</v>
      </c>
      <c r="F131" s="2" t="s">
        <v>55</v>
      </c>
      <c r="G131" s="3">
        <v>46183.683009259257</v>
      </c>
      <c r="H131" s="3">
        <v>46202.740995370368</v>
      </c>
      <c r="I131" s="2" t="s">
        <v>100</v>
      </c>
      <c r="J131" s="2">
        <v>2</v>
      </c>
      <c r="K131" s="2" t="s">
        <v>891</v>
      </c>
      <c r="L131" s="2"/>
      <c r="M131" s="2"/>
      <c r="N131" s="2" t="s">
        <v>71</v>
      </c>
      <c r="O131" s="2"/>
      <c r="P131" s="2" t="s">
        <v>892</v>
      </c>
      <c r="Q131" s="2" t="s">
        <v>68</v>
      </c>
      <c r="R131" s="2" t="s">
        <v>71</v>
      </c>
      <c r="S131" s="2" t="s">
        <v>60</v>
      </c>
      <c r="T131" s="5">
        <v>5.7458333333333336</v>
      </c>
      <c r="U131" s="2" t="s">
        <v>61</v>
      </c>
      <c r="V131" s="2" t="s">
        <v>189</v>
      </c>
    </row>
    <row r="132" spans="1:22" ht="18" customHeight="1" x14ac:dyDescent="0.3">
      <c r="A132" s="2" t="s">
        <v>893</v>
      </c>
      <c r="B132" s="2" t="s">
        <v>894</v>
      </c>
      <c r="C132" s="2" t="s">
        <v>895</v>
      </c>
      <c r="D132" s="2" t="s">
        <v>1149</v>
      </c>
      <c r="E132" s="2" t="s">
        <v>54</v>
      </c>
      <c r="F132" s="2" t="s">
        <v>55</v>
      </c>
      <c r="G132" s="3">
        <v>46183.683240740742</v>
      </c>
      <c r="H132" s="3">
        <v>46189.544328703705</v>
      </c>
      <c r="I132" s="2" t="s">
        <v>97</v>
      </c>
      <c r="J132" s="2">
        <v>2</v>
      </c>
      <c r="K132" s="2" t="s">
        <v>896</v>
      </c>
      <c r="L132" s="2"/>
      <c r="M132" s="2"/>
      <c r="N132" s="2" t="s">
        <v>105</v>
      </c>
      <c r="O132" s="2"/>
      <c r="P132" s="2" t="s">
        <v>98</v>
      </c>
      <c r="Q132" s="2" t="s">
        <v>664</v>
      </c>
      <c r="R132" s="2" t="s">
        <v>105</v>
      </c>
      <c r="S132" s="2" t="s">
        <v>60</v>
      </c>
      <c r="T132" s="5">
        <v>1.6111111111111112</v>
      </c>
      <c r="U132" s="2" t="s">
        <v>61</v>
      </c>
      <c r="V132" s="2" t="s">
        <v>62</v>
      </c>
    </row>
    <row r="133" spans="1:22" ht="18" customHeight="1" x14ac:dyDescent="0.3">
      <c r="A133" s="2" t="s">
        <v>897</v>
      </c>
      <c r="B133" s="2" t="s">
        <v>198</v>
      </c>
      <c r="C133" s="2" t="s">
        <v>199</v>
      </c>
      <c r="D133" s="2" t="s">
        <v>1149</v>
      </c>
      <c r="E133" s="2" t="s">
        <v>54</v>
      </c>
      <c r="F133" s="2" t="s">
        <v>55</v>
      </c>
      <c r="G133" s="3">
        <v>46183.70108796296</v>
      </c>
      <c r="H133" s="2"/>
      <c r="I133" s="2" t="s">
        <v>118</v>
      </c>
      <c r="J133" s="2">
        <v>3</v>
      </c>
      <c r="K133" s="4" t="s">
        <v>898</v>
      </c>
      <c r="L133" s="2"/>
      <c r="M133" s="2"/>
      <c r="N133" s="2" t="s">
        <v>78</v>
      </c>
      <c r="O133" s="2" t="s">
        <v>78</v>
      </c>
      <c r="P133" s="2"/>
      <c r="Q133" s="2"/>
      <c r="R133" s="2" t="s">
        <v>78</v>
      </c>
      <c r="S133" s="2" t="s">
        <v>92</v>
      </c>
      <c r="T133" s="6">
        <v>0</v>
      </c>
      <c r="U133" s="2" t="s">
        <v>117</v>
      </c>
      <c r="V133" s="2" t="s">
        <v>62</v>
      </c>
    </row>
    <row r="134" spans="1:22" ht="18" customHeight="1" x14ac:dyDescent="0.3">
      <c r="A134" s="2" t="s">
        <v>899</v>
      </c>
      <c r="B134" s="2" t="s">
        <v>247</v>
      </c>
      <c r="C134" s="2" t="s">
        <v>248</v>
      </c>
      <c r="D134" s="2" t="s">
        <v>1149</v>
      </c>
      <c r="E134" s="2" t="s">
        <v>54</v>
      </c>
      <c r="F134" s="2" t="s">
        <v>55</v>
      </c>
      <c r="G134" s="3">
        <v>46184.352280092593</v>
      </c>
      <c r="H134" s="3">
        <v>46197.412291666667</v>
      </c>
      <c r="I134" s="2" t="s">
        <v>77</v>
      </c>
      <c r="J134" s="2">
        <v>3</v>
      </c>
      <c r="K134" s="2" t="s">
        <v>900</v>
      </c>
      <c r="L134" s="4" t="s">
        <v>179</v>
      </c>
      <c r="M134" s="2"/>
      <c r="N134" s="2" t="s">
        <v>81</v>
      </c>
      <c r="O134" s="2"/>
      <c r="P134" s="2" t="s">
        <v>78</v>
      </c>
      <c r="Q134" s="2" t="s">
        <v>94</v>
      </c>
      <c r="R134" s="2" t="s">
        <v>81</v>
      </c>
      <c r="S134" s="2" t="s">
        <v>60</v>
      </c>
      <c r="T134" s="5">
        <v>3.9298611111111112</v>
      </c>
      <c r="U134" s="2" t="s">
        <v>61</v>
      </c>
      <c r="V134" s="2" t="s">
        <v>62</v>
      </c>
    </row>
    <row r="135" spans="1:22" ht="18" customHeight="1" x14ac:dyDescent="0.3">
      <c r="A135" s="2" t="s">
        <v>901</v>
      </c>
      <c r="B135" s="2" t="s">
        <v>271</v>
      </c>
      <c r="C135" s="2" t="s">
        <v>272</v>
      </c>
      <c r="D135" s="2" t="s">
        <v>1319</v>
      </c>
      <c r="E135" s="2" t="s">
        <v>66</v>
      </c>
      <c r="F135" s="2" t="s">
        <v>67</v>
      </c>
      <c r="G135" s="3">
        <v>46184.448576388888</v>
      </c>
      <c r="H135" s="3">
        <v>46185.52684027778</v>
      </c>
      <c r="I135" s="2" t="s">
        <v>56</v>
      </c>
      <c r="J135" s="2">
        <v>2</v>
      </c>
      <c r="K135" s="2" t="s">
        <v>902</v>
      </c>
      <c r="L135" s="4" t="s">
        <v>903</v>
      </c>
      <c r="M135" s="2"/>
      <c r="N135" s="2" t="s">
        <v>58</v>
      </c>
      <c r="O135" s="2"/>
      <c r="P135" s="2" t="s">
        <v>156</v>
      </c>
      <c r="Q135" s="2" t="s">
        <v>153</v>
      </c>
      <c r="R135" s="2" t="s">
        <v>58</v>
      </c>
      <c r="S135" s="2" t="s">
        <v>60</v>
      </c>
      <c r="T135" s="6">
        <v>0.51597222222222228</v>
      </c>
      <c r="U135" s="2" t="s">
        <v>61</v>
      </c>
      <c r="V135" s="2" t="s">
        <v>62</v>
      </c>
    </row>
    <row r="136" spans="1:22" ht="18" customHeight="1" x14ac:dyDescent="0.3">
      <c r="A136" s="2" t="s">
        <v>904</v>
      </c>
      <c r="B136" s="2" t="s">
        <v>905</v>
      </c>
      <c r="C136" s="2" t="s">
        <v>906</v>
      </c>
      <c r="D136" s="2" t="s">
        <v>1320</v>
      </c>
      <c r="E136" s="2" t="s">
        <v>75</v>
      </c>
      <c r="F136" s="2" t="s">
        <v>55</v>
      </c>
      <c r="G136" s="3">
        <v>46184.458634259259</v>
      </c>
      <c r="H136" s="3">
        <v>46191.517025462963</v>
      </c>
      <c r="I136" s="2" t="s">
        <v>56</v>
      </c>
      <c r="J136" s="2">
        <v>3</v>
      </c>
      <c r="K136" s="2" t="s">
        <v>57</v>
      </c>
      <c r="L136" s="4" t="s">
        <v>192</v>
      </c>
      <c r="M136" s="2"/>
      <c r="N136" s="2" t="s">
        <v>58</v>
      </c>
      <c r="O136" s="2"/>
      <c r="P136" s="2" t="s">
        <v>58</v>
      </c>
      <c r="Q136" s="2" t="s">
        <v>74</v>
      </c>
      <c r="R136" s="2" t="s">
        <v>58</v>
      </c>
      <c r="S136" s="2" t="s">
        <v>60</v>
      </c>
      <c r="T136" s="5">
        <v>2.2465277777777777</v>
      </c>
      <c r="U136" s="2" t="s">
        <v>61</v>
      </c>
      <c r="V136" s="2" t="s">
        <v>62</v>
      </c>
    </row>
    <row r="137" spans="1:22" ht="18" customHeight="1" x14ac:dyDescent="0.3">
      <c r="A137" s="2" t="s">
        <v>907</v>
      </c>
      <c r="B137" s="2" t="s">
        <v>905</v>
      </c>
      <c r="C137" s="2" t="s">
        <v>906</v>
      </c>
      <c r="D137" s="2" t="s">
        <v>1320</v>
      </c>
      <c r="E137" s="2" t="s">
        <v>75</v>
      </c>
      <c r="F137" s="2" t="s">
        <v>55</v>
      </c>
      <c r="G137" s="3">
        <v>46184.458958333336</v>
      </c>
      <c r="H137" s="3">
        <v>46191.507488425923</v>
      </c>
      <c r="I137" s="2" t="s">
        <v>63</v>
      </c>
      <c r="J137" s="2">
        <v>3</v>
      </c>
      <c r="K137" s="2" t="s">
        <v>816</v>
      </c>
      <c r="L137" s="4" t="s">
        <v>264</v>
      </c>
      <c r="M137" s="2"/>
      <c r="N137" s="2" t="s">
        <v>58</v>
      </c>
      <c r="O137" s="2"/>
      <c r="P137" s="2" t="s">
        <v>58</v>
      </c>
      <c r="Q137" s="2" t="s">
        <v>161</v>
      </c>
      <c r="R137" s="2" t="s">
        <v>58</v>
      </c>
      <c r="S137" s="2" t="s">
        <v>60</v>
      </c>
      <c r="T137" s="5">
        <v>2.3402777777777777</v>
      </c>
      <c r="U137" s="2" t="s">
        <v>61</v>
      </c>
      <c r="V137" s="2" t="s">
        <v>62</v>
      </c>
    </row>
    <row r="138" spans="1:22" ht="18" customHeight="1" x14ac:dyDescent="0.3">
      <c r="A138" s="2" t="s">
        <v>908</v>
      </c>
      <c r="B138" s="2" t="s">
        <v>909</v>
      </c>
      <c r="C138" s="2" t="s">
        <v>910</v>
      </c>
      <c r="D138" s="2" t="s">
        <v>1321</v>
      </c>
      <c r="E138" s="2" t="s">
        <v>54</v>
      </c>
      <c r="F138" s="2" t="s">
        <v>55</v>
      </c>
      <c r="G138" s="3">
        <v>46184.460162037038</v>
      </c>
      <c r="H138" s="3">
        <v>46185.585370370369</v>
      </c>
      <c r="I138" s="2" t="s">
        <v>56</v>
      </c>
      <c r="J138" s="2">
        <v>3</v>
      </c>
      <c r="K138" s="2" t="s">
        <v>57</v>
      </c>
      <c r="L138" s="4" t="s">
        <v>911</v>
      </c>
      <c r="M138" s="2"/>
      <c r="N138" s="2" t="s">
        <v>58</v>
      </c>
      <c r="O138" s="2"/>
      <c r="P138" s="2" t="s">
        <v>58</v>
      </c>
      <c r="Q138" s="2" t="s">
        <v>59</v>
      </c>
      <c r="R138" s="2" t="s">
        <v>58</v>
      </c>
      <c r="S138" s="2" t="s">
        <v>60</v>
      </c>
      <c r="T138" s="6">
        <v>0.56319444444444444</v>
      </c>
      <c r="U138" s="2" t="s">
        <v>61</v>
      </c>
      <c r="V138" s="2" t="s">
        <v>62</v>
      </c>
    </row>
    <row r="139" spans="1:22" ht="18" customHeight="1" x14ac:dyDescent="0.3">
      <c r="A139" s="2" t="s">
        <v>912</v>
      </c>
      <c r="B139" s="2" t="s">
        <v>909</v>
      </c>
      <c r="C139" s="2" t="s">
        <v>910</v>
      </c>
      <c r="D139" s="2" t="s">
        <v>1321</v>
      </c>
      <c r="E139" s="2" t="s">
        <v>54</v>
      </c>
      <c r="F139" s="2" t="s">
        <v>55</v>
      </c>
      <c r="G139" s="3">
        <v>46184.460393518515</v>
      </c>
      <c r="H139" s="3">
        <v>46185.568287037036</v>
      </c>
      <c r="I139" s="2" t="s">
        <v>63</v>
      </c>
      <c r="J139" s="2">
        <v>3</v>
      </c>
      <c r="K139" s="2" t="s">
        <v>816</v>
      </c>
      <c r="L139" s="4" t="s">
        <v>913</v>
      </c>
      <c r="M139" s="2"/>
      <c r="N139" s="2" t="s">
        <v>58</v>
      </c>
      <c r="O139" s="2"/>
      <c r="P139" s="2" t="s">
        <v>58</v>
      </c>
      <c r="Q139" s="2" t="s">
        <v>74</v>
      </c>
      <c r="R139" s="2" t="s">
        <v>58</v>
      </c>
      <c r="S139" s="2" t="s">
        <v>60</v>
      </c>
      <c r="T139" s="6">
        <v>0.56666666666666665</v>
      </c>
      <c r="U139" s="2" t="s">
        <v>61</v>
      </c>
      <c r="V139" s="2" t="s">
        <v>62</v>
      </c>
    </row>
    <row r="140" spans="1:22" ht="18" customHeight="1" x14ac:dyDescent="0.3">
      <c r="A140" s="2" t="s">
        <v>914</v>
      </c>
      <c r="B140" s="2" t="s">
        <v>915</v>
      </c>
      <c r="C140" s="2" t="s">
        <v>916</v>
      </c>
      <c r="D140" s="2" t="s">
        <v>1319</v>
      </c>
      <c r="E140" s="2" t="s">
        <v>66</v>
      </c>
      <c r="F140" s="2" t="s">
        <v>67</v>
      </c>
      <c r="G140" s="3">
        <v>46184.502824074072</v>
      </c>
      <c r="H140" s="3">
        <v>46184.726400462961</v>
      </c>
      <c r="I140" s="2" t="s">
        <v>93</v>
      </c>
      <c r="J140" s="2">
        <v>2</v>
      </c>
      <c r="K140" s="2" t="s">
        <v>917</v>
      </c>
      <c r="L140" s="4" t="s">
        <v>918</v>
      </c>
      <c r="M140" s="2"/>
      <c r="N140" s="2" t="s">
        <v>78</v>
      </c>
      <c r="O140" s="2"/>
      <c r="P140" s="2" t="s">
        <v>79</v>
      </c>
      <c r="Q140" s="2" t="s">
        <v>80</v>
      </c>
      <c r="R140" s="2" t="s">
        <v>78</v>
      </c>
      <c r="S140" s="2" t="s">
        <v>60</v>
      </c>
      <c r="T140" s="6">
        <v>0.22361111111111112</v>
      </c>
      <c r="U140" s="2" t="s">
        <v>61</v>
      </c>
      <c r="V140" s="2" t="s">
        <v>62</v>
      </c>
    </row>
    <row r="141" spans="1:22" ht="18" customHeight="1" x14ac:dyDescent="0.3">
      <c r="A141" s="2" t="s">
        <v>919</v>
      </c>
      <c r="B141" s="2" t="s">
        <v>167</v>
      </c>
      <c r="C141" s="2" t="s">
        <v>168</v>
      </c>
      <c r="D141" s="2" t="s">
        <v>1321</v>
      </c>
      <c r="E141" s="2" t="s">
        <v>54</v>
      </c>
      <c r="F141" s="2" t="s">
        <v>55</v>
      </c>
      <c r="G141" s="3">
        <v>46184.562303240738</v>
      </c>
      <c r="H141" s="3">
        <v>46185.474432870367</v>
      </c>
      <c r="I141" s="2" t="s">
        <v>70</v>
      </c>
      <c r="J141" s="2">
        <v>3</v>
      </c>
      <c r="K141" s="2" t="s">
        <v>920</v>
      </c>
      <c r="L141" s="4" t="s">
        <v>921</v>
      </c>
      <c r="M141" s="2"/>
      <c r="N141" s="2" t="s">
        <v>71</v>
      </c>
      <c r="O141" s="2"/>
      <c r="P141" s="2" t="s">
        <v>71</v>
      </c>
      <c r="Q141" s="2" t="s">
        <v>200</v>
      </c>
      <c r="R141" s="2" t="s">
        <v>71</v>
      </c>
      <c r="S141" s="2" t="s">
        <v>60</v>
      </c>
      <c r="T141" s="6">
        <v>0.35</v>
      </c>
      <c r="U141" s="2" t="s">
        <v>61</v>
      </c>
      <c r="V141" s="2" t="s">
        <v>62</v>
      </c>
    </row>
    <row r="142" spans="1:22" ht="18" customHeight="1" x14ac:dyDescent="0.3">
      <c r="A142" s="2" t="s">
        <v>922</v>
      </c>
      <c r="B142" s="2" t="s">
        <v>923</v>
      </c>
      <c r="C142" s="2" t="s">
        <v>924</v>
      </c>
      <c r="D142" s="2" t="s">
        <v>1319</v>
      </c>
      <c r="E142" s="2" t="s">
        <v>66</v>
      </c>
      <c r="F142" s="2" t="s">
        <v>67</v>
      </c>
      <c r="G142" s="3">
        <v>46184.702210648145</v>
      </c>
      <c r="H142" s="3">
        <v>46202.565868055557</v>
      </c>
      <c r="I142" s="2" t="s">
        <v>77</v>
      </c>
      <c r="J142" s="2">
        <v>3</v>
      </c>
      <c r="K142" s="2" t="s">
        <v>925</v>
      </c>
      <c r="L142" s="4" t="s">
        <v>926</v>
      </c>
      <c r="M142" s="2"/>
      <c r="N142" s="2" t="s">
        <v>78</v>
      </c>
      <c r="O142" s="2"/>
      <c r="P142" s="2" t="s">
        <v>79</v>
      </c>
      <c r="Q142" s="2" t="s">
        <v>80</v>
      </c>
      <c r="R142" s="2" t="s">
        <v>78</v>
      </c>
      <c r="S142" s="2" t="s">
        <v>60</v>
      </c>
      <c r="T142" s="5">
        <v>5.1138888888888889</v>
      </c>
      <c r="U142" s="2" t="s">
        <v>108</v>
      </c>
      <c r="V142" s="2" t="s">
        <v>62</v>
      </c>
    </row>
    <row r="143" spans="1:22" ht="18" customHeight="1" x14ac:dyDescent="0.3">
      <c r="A143" s="2" t="s">
        <v>927</v>
      </c>
      <c r="B143" s="2" t="s">
        <v>626</v>
      </c>
      <c r="C143" s="2" t="s">
        <v>627</v>
      </c>
      <c r="D143" s="2" t="s">
        <v>1319</v>
      </c>
      <c r="E143" s="2" t="s">
        <v>66</v>
      </c>
      <c r="F143" s="2" t="s">
        <v>67</v>
      </c>
      <c r="G143" s="3">
        <v>46185.348379629628</v>
      </c>
      <c r="H143" s="3">
        <v>46188.401053240741</v>
      </c>
      <c r="I143" s="2" t="s">
        <v>77</v>
      </c>
      <c r="J143" s="2">
        <v>2</v>
      </c>
      <c r="K143" s="2" t="s">
        <v>928</v>
      </c>
      <c r="L143" s="4" t="s">
        <v>929</v>
      </c>
      <c r="M143" s="2"/>
      <c r="N143" s="2" t="s">
        <v>78</v>
      </c>
      <c r="O143" s="2"/>
      <c r="P143" s="2" t="s">
        <v>79</v>
      </c>
      <c r="Q143" s="2" t="s">
        <v>80</v>
      </c>
      <c r="R143" s="2" t="s">
        <v>78</v>
      </c>
      <c r="S143" s="2" t="s">
        <v>60</v>
      </c>
      <c r="T143" s="6">
        <v>0.49027777777777776</v>
      </c>
      <c r="U143" s="2" t="s">
        <v>61</v>
      </c>
      <c r="V143" s="2" t="s">
        <v>62</v>
      </c>
    </row>
    <row r="144" spans="1:22" ht="18" customHeight="1" x14ac:dyDescent="0.3">
      <c r="A144" s="2" t="s">
        <v>930</v>
      </c>
      <c r="B144" s="2" t="s">
        <v>931</v>
      </c>
      <c r="C144" s="2" t="s">
        <v>932</v>
      </c>
      <c r="D144" s="2" t="s">
        <v>1319</v>
      </c>
      <c r="E144" s="2" t="s">
        <v>66</v>
      </c>
      <c r="F144" s="2" t="s">
        <v>67</v>
      </c>
      <c r="G144" s="3">
        <v>46185.408854166664</v>
      </c>
      <c r="H144" s="3">
        <v>46189.441840277781</v>
      </c>
      <c r="I144" s="2" t="s">
        <v>97</v>
      </c>
      <c r="J144" s="2">
        <v>2</v>
      </c>
      <c r="K144" s="2" t="s">
        <v>933</v>
      </c>
      <c r="L144" s="2"/>
      <c r="M144" s="2"/>
      <c r="N144" s="2" t="s">
        <v>105</v>
      </c>
      <c r="O144" s="2"/>
      <c r="P144" s="2" t="s">
        <v>98</v>
      </c>
      <c r="Q144" s="2" t="s">
        <v>106</v>
      </c>
      <c r="R144" s="2" t="s">
        <v>105</v>
      </c>
      <c r="S144" s="2" t="s">
        <v>60</v>
      </c>
      <c r="T144" s="6">
        <v>0.90486111111111112</v>
      </c>
      <c r="U144" s="2" t="s">
        <v>61</v>
      </c>
      <c r="V144" s="2" t="s">
        <v>62</v>
      </c>
    </row>
    <row r="145" spans="1:22" ht="18" customHeight="1" x14ac:dyDescent="0.3">
      <c r="A145" s="2" t="s">
        <v>934</v>
      </c>
      <c r="B145" s="2" t="s">
        <v>935</v>
      </c>
      <c r="C145" s="2" t="s">
        <v>936</v>
      </c>
      <c r="D145" s="2" t="s">
        <v>1320</v>
      </c>
      <c r="E145" s="2" t="s">
        <v>75</v>
      </c>
      <c r="F145" s="2" t="s">
        <v>55</v>
      </c>
      <c r="G145" s="3">
        <v>46185.418240740742</v>
      </c>
      <c r="H145" s="3">
        <v>46205.616527777776</v>
      </c>
      <c r="I145" s="2" t="s">
        <v>123</v>
      </c>
      <c r="J145" s="2">
        <v>2</v>
      </c>
      <c r="K145" s="2" t="s">
        <v>234</v>
      </c>
      <c r="L145" s="4" t="s">
        <v>937</v>
      </c>
      <c r="M145" s="2"/>
      <c r="N145" s="2" t="s">
        <v>78</v>
      </c>
      <c r="O145" s="2"/>
      <c r="P145" s="2" t="s">
        <v>78</v>
      </c>
      <c r="Q145" s="2" t="s">
        <v>94</v>
      </c>
      <c r="R145" s="2" t="s">
        <v>78</v>
      </c>
      <c r="S145" s="2" t="s">
        <v>60</v>
      </c>
      <c r="T145" s="5">
        <v>5.5791666666666666</v>
      </c>
      <c r="U145" s="2" t="s">
        <v>108</v>
      </c>
      <c r="V145" s="2" t="s">
        <v>62</v>
      </c>
    </row>
    <row r="146" spans="1:22" ht="18" customHeight="1" x14ac:dyDescent="0.3">
      <c r="A146" s="2" t="s">
        <v>938</v>
      </c>
      <c r="B146" s="2" t="s">
        <v>894</v>
      </c>
      <c r="C146" s="2" t="s">
        <v>895</v>
      </c>
      <c r="D146" s="2" t="s">
        <v>1149</v>
      </c>
      <c r="E146" s="2" t="s">
        <v>54</v>
      </c>
      <c r="F146" s="2" t="s">
        <v>55</v>
      </c>
      <c r="G146" s="3">
        <v>46185.44568287037</v>
      </c>
      <c r="H146" s="3">
        <v>46185.505393518521</v>
      </c>
      <c r="I146" s="2" t="s">
        <v>939</v>
      </c>
      <c r="J146" s="2">
        <v>3</v>
      </c>
      <c r="K146" s="4" t="s">
        <v>940</v>
      </c>
      <c r="L146" s="4" t="s">
        <v>941</v>
      </c>
      <c r="M146" s="2"/>
      <c r="N146" s="2" t="s">
        <v>137</v>
      </c>
      <c r="O146" s="2"/>
      <c r="P146" s="2" t="s">
        <v>91</v>
      </c>
      <c r="Q146" s="2" t="s">
        <v>138</v>
      </c>
      <c r="R146" s="2" t="s">
        <v>137</v>
      </c>
      <c r="S146" s="2" t="s">
        <v>60</v>
      </c>
      <c r="T146" s="6">
        <v>5.9722222222222225E-2</v>
      </c>
      <c r="U146" s="2" t="s">
        <v>61</v>
      </c>
      <c r="V146" s="2" t="s">
        <v>62</v>
      </c>
    </row>
    <row r="147" spans="1:22" ht="18" customHeight="1" x14ac:dyDescent="0.3">
      <c r="A147" s="2" t="s">
        <v>942</v>
      </c>
      <c r="B147" s="2" t="s">
        <v>788</v>
      </c>
      <c r="C147" s="2" t="s">
        <v>789</v>
      </c>
      <c r="D147" s="2" t="s">
        <v>1321</v>
      </c>
      <c r="E147" s="2" t="s">
        <v>54</v>
      </c>
      <c r="F147" s="2" t="s">
        <v>55</v>
      </c>
      <c r="G147" s="3">
        <v>46185.474270833336</v>
      </c>
      <c r="H147" s="3">
        <v>46190.631863425922</v>
      </c>
      <c r="I147" s="2" t="s">
        <v>63</v>
      </c>
      <c r="J147" s="2">
        <v>3</v>
      </c>
      <c r="K147" s="2" t="s">
        <v>943</v>
      </c>
      <c r="L147" s="4" t="s">
        <v>944</v>
      </c>
      <c r="M147" s="2"/>
      <c r="N147" s="2" t="s">
        <v>58</v>
      </c>
      <c r="O147" s="2"/>
      <c r="P147" s="2" t="s">
        <v>58</v>
      </c>
      <c r="Q147" s="2" t="s">
        <v>74</v>
      </c>
      <c r="R147" s="2" t="s">
        <v>58</v>
      </c>
      <c r="S147" s="2" t="s">
        <v>60</v>
      </c>
      <c r="T147" s="5">
        <v>1.5326388888888889</v>
      </c>
      <c r="U147" s="2" t="s">
        <v>61</v>
      </c>
      <c r="V147" s="2" t="s">
        <v>62</v>
      </c>
    </row>
    <row r="148" spans="1:22" ht="18" customHeight="1" x14ac:dyDescent="0.3">
      <c r="A148" s="2" t="s">
        <v>945</v>
      </c>
      <c r="B148" s="2" t="s">
        <v>786</v>
      </c>
      <c r="C148" s="2" t="s">
        <v>787</v>
      </c>
      <c r="D148" s="2" t="s">
        <v>1321</v>
      </c>
      <c r="E148" s="2" t="s">
        <v>54</v>
      </c>
      <c r="F148" s="2" t="s">
        <v>55</v>
      </c>
      <c r="G148" s="3">
        <v>46185.47515046296</v>
      </c>
      <c r="H148" s="3">
        <v>46190.632430555554</v>
      </c>
      <c r="I148" s="2" t="s">
        <v>63</v>
      </c>
      <c r="J148" s="2">
        <v>3</v>
      </c>
      <c r="K148" s="2" t="s">
        <v>943</v>
      </c>
      <c r="L148" s="4" t="s">
        <v>780</v>
      </c>
      <c r="M148" s="2"/>
      <c r="N148" s="2" t="s">
        <v>58</v>
      </c>
      <c r="O148" s="2"/>
      <c r="P148" s="2" t="s">
        <v>58</v>
      </c>
      <c r="Q148" s="2" t="s">
        <v>74</v>
      </c>
      <c r="R148" s="2" t="s">
        <v>58</v>
      </c>
      <c r="S148" s="2" t="s">
        <v>60</v>
      </c>
      <c r="T148" s="5">
        <v>1.5326388888888889</v>
      </c>
      <c r="U148" s="2" t="s">
        <v>61</v>
      </c>
      <c r="V148" s="2" t="s">
        <v>62</v>
      </c>
    </row>
    <row r="149" spans="1:22" ht="18" customHeight="1" x14ac:dyDescent="0.3">
      <c r="A149" s="2" t="s">
        <v>946</v>
      </c>
      <c r="B149" s="2" t="s">
        <v>947</v>
      </c>
      <c r="C149" s="2" t="s">
        <v>948</v>
      </c>
      <c r="D149" s="2" t="s">
        <v>1321</v>
      </c>
      <c r="E149" s="2" t="s">
        <v>54</v>
      </c>
      <c r="F149" s="2" t="s">
        <v>67</v>
      </c>
      <c r="G149" s="3">
        <v>46185.493333333332</v>
      </c>
      <c r="H149" s="3">
        <v>46206.47861111111</v>
      </c>
      <c r="I149" s="2" t="s">
        <v>63</v>
      </c>
      <c r="J149" s="2">
        <v>3</v>
      </c>
      <c r="K149" s="2" t="s">
        <v>949</v>
      </c>
      <c r="L149" s="4" t="s">
        <v>183</v>
      </c>
      <c r="M149" s="2"/>
      <c r="N149" s="2" t="s">
        <v>58</v>
      </c>
      <c r="O149" s="2"/>
      <c r="P149" s="2" t="s">
        <v>58</v>
      </c>
      <c r="Q149" s="2" t="s">
        <v>59</v>
      </c>
      <c r="R149" s="2" t="s">
        <v>58</v>
      </c>
      <c r="S149" s="2" t="s">
        <v>60</v>
      </c>
      <c r="T149" s="5">
        <v>6.8604166666666666</v>
      </c>
      <c r="U149" s="2" t="s">
        <v>108</v>
      </c>
      <c r="V149" s="2" t="s">
        <v>62</v>
      </c>
    </row>
    <row r="150" spans="1:22" ht="18" customHeight="1" x14ac:dyDescent="0.3">
      <c r="A150" s="2" t="s">
        <v>950</v>
      </c>
      <c r="B150" s="2" t="s">
        <v>947</v>
      </c>
      <c r="C150" s="2" t="s">
        <v>948</v>
      </c>
      <c r="D150" s="2" t="s">
        <v>1321</v>
      </c>
      <c r="E150" s="2" t="s">
        <v>54</v>
      </c>
      <c r="F150" s="2" t="s">
        <v>67</v>
      </c>
      <c r="G150" s="3">
        <v>46185.49423611111</v>
      </c>
      <c r="H150" s="3">
        <v>46188.449432870373</v>
      </c>
      <c r="I150" s="2" t="s">
        <v>56</v>
      </c>
      <c r="J150" s="2">
        <v>3</v>
      </c>
      <c r="K150" s="2" t="s">
        <v>57</v>
      </c>
      <c r="L150" s="4" t="s">
        <v>192</v>
      </c>
      <c r="M150" s="2"/>
      <c r="N150" s="2" t="s">
        <v>58</v>
      </c>
      <c r="O150" s="2"/>
      <c r="P150" s="2" t="s">
        <v>58</v>
      </c>
      <c r="Q150" s="2" t="s">
        <v>74</v>
      </c>
      <c r="R150" s="2" t="s">
        <v>58</v>
      </c>
      <c r="S150" s="2" t="s">
        <v>60</v>
      </c>
      <c r="T150" s="6">
        <v>0.39305555555555555</v>
      </c>
      <c r="U150" s="2" t="s">
        <v>61</v>
      </c>
      <c r="V150" s="2" t="s">
        <v>62</v>
      </c>
    </row>
    <row r="151" spans="1:22" ht="18" customHeight="1" x14ac:dyDescent="0.3">
      <c r="A151" s="2" t="s">
        <v>951</v>
      </c>
      <c r="B151" s="2" t="s">
        <v>680</v>
      </c>
      <c r="C151" s="2" t="s">
        <v>681</v>
      </c>
      <c r="D151" s="2" t="s">
        <v>1319</v>
      </c>
      <c r="E151" s="2" t="s">
        <v>66</v>
      </c>
      <c r="F151" s="2" t="s">
        <v>76</v>
      </c>
      <c r="G151" s="3">
        <v>46185.496354166666</v>
      </c>
      <c r="H151" s="3">
        <v>46189.334629629629</v>
      </c>
      <c r="I151" s="2" t="s">
        <v>165</v>
      </c>
      <c r="J151" s="2">
        <v>2</v>
      </c>
      <c r="K151" s="2" t="s">
        <v>166</v>
      </c>
      <c r="L151" s="4" t="s">
        <v>952</v>
      </c>
      <c r="M151" s="2"/>
      <c r="N151" s="2" t="s">
        <v>58</v>
      </c>
      <c r="O151" s="2"/>
      <c r="P151" s="2" t="s">
        <v>58</v>
      </c>
      <c r="Q151" s="2" t="s">
        <v>74</v>
      </c>
      <c r="R151" s="2" t="s">
        <v>58</v>
      </c>
      <c r="S151" s="2" t="s">
        <v>60</v>
      </c>
      <c r="T151" s="6">
        <v>0.71250000000000002</v>
      </c>
      <c r="U151" s="2" t="s">
        <v>61</v>
      </c>
      <c r="V151" s="2" t="s">
        <v>62</v>
      </c>
    </row>
    <row r="152" spans="1:22" ht="18" customHeight="1" x14ac:dyDescent="0.3">
      <c r="A152" s="2" t="s">
        <v>953</v>
      </c>
      <c r="B152" s="2" t="s">
        <v>680</v>
      </c>
      <c r="C152" s="2" t="s">
        <v>681</v>
      </c>
      <c r="D152" s="2" t="s">
        <v>1319</v>
      </c>
      <c r="E152" s="2" t="s">
        <v>66</v>
      </c>
      <c r="F152" s="2" t="s">
        <v>76</v>
      </c>
      <c r="G152" s="3">
        <v>46185.501296296294</v>
      </c>
      <c r="H152" s="3">
        <v>46197.454201388886</v>
      </c>
      <c r="I152" s="2" t="s">
        <v>176</v>
      </c>
      <c r="J152" s="2">
        <v>2</v>
      </c>
      <c r="K152" s="2" t="s">
        <v>177</v>
      </c>
      <c r="L152" s="4" t="s">
        <v>115</v>
      </c>
      <c r="M152" s="2"/>
      <c r="N152" s="2" t="s">
        <v>81</v>
      </c>
      <c r="O152" s="2"/>
      <c r="P152" s="2" t="s">
        <v>81</v>
      </c>
      <c r="Q152" s="2" t="s">
        <v>89</v>
      </c>
      <c r="R152" s="2" t="s">
        <v>81</v>
      </c>
      <c r="S152" s="2" t="s">
        <v>60</v>
      </c>
      <c r="T152" s="5">
        <v>3.4534722222222221</v>
      </c>
      <c r="U152" s="2" t="s">
        <v>61</v>
      </c>
      <c r="V152" s="2" t="s">
        <v>62</v>
      </c>
    </row>
    <row r="153" spans="1:22" ht="18" customHeight="1" x14ac:dyDescent="0.3">
      <c r="A153" s="2" t="s">
        <v>954</v>
      </c>
      <c r="B153" s="2" t="s">
        <v>955</v>
      </c>
      <c r="C153" s="2" t="s">
        <v>956</v>
      </c>
      <c r="D153" s="2" t="s">
        <v>1319</v>
      </c>
      <c r="E153" s="2" t="s">
        <v>66</v>
      </c>
      <c r="F153" s="2" t="s">
        <v>76</v>
      </c>
      <c r="G153" s="3">
        <v>46185.501458333332</v>
      </c>
      <c r="H153" s="3">
        <v>46190.602314814816</v>
      </c>
      <c r="I153" s="2" t="s">
        <v>123</v>
      </c>
      <c r="J153" s="2">
        <v>2</v>
      </c>
      <c r="K153" s="2" t="s">
        <v>131</v>
      </c>
      <c r="L153" s="4" t="s">
        <v>957</v>
      </c>
      <c r="M153" s="2"/>
      <c r="N153" s="2" t="s">
        <v>81</v>
      </c>
      <c r="O153" s="2"/>
      <c r="P153" s="2" t="s">
        <v>81</v>
      </c>
      <c r="Q153" s="2" t="s">
        <v>89</v>
      </c>
      <c r="R153" s="2" t="s">
        <v>81</v>
      </c>
      <c r="S153" s="2" t="s">
        <v>60</v>
      </c>
      <c r="T153" s="5">
        <v>1.4111111111111112</v>
      </c>
      <c r="U153" s="2" t="s">
        <v>61</v>
      </c>
      <c r="V153" s="2" t="s">
        <v>62</v>
      </c>
    </row>
    <row r="154" spans="1:22" ht="18" customHeight="1" x14ac:dyDescent="0.3">
      <c r="A154" s="2" t="s">
        <v>958</v>
      </c>
      <c r="B154" s="2" t="s">
        <v>959</v>
      </c>
      <c r="C154" s="2" t="s">
        <v>960</v>
      </c>
      <c r="D154" s="2" t="s">
        <v>1319</v>
      </c>
      <c r="E154" s="2" t="s">
        <v>66</v>
      </c>
      <c r="F154" s="2" t="s">
        <v>76</v>
      </c>
      <c r="G154" s="3">
        <v>46185.55027777778</v>
      </c>
      <c r="H154" s="3">
        <v>46190.380173611113</v>
      </c>
      <c r="I154" s="2" t="s">
        <v>73</v>
      </c>
      <c r="J154" s="2">
        <v>2</v>
      </c>
      <c r="K154" s="2" t="s">
        <v>961</v>
      </c>
      <c r="L154" s="4" t="s">
        <v>962</v>
      </c>
      <c r="M154" s="2"/>
      <c r="N154" s="2" t="s">
        <v>58</v>
      </c>
      <c r="O154" s="2"/>
      <c r="P154" s="2" t="s">
        <v>58</v>
      </c>
      <c r="Q154" s="2" t="s">
        <v>74</v>
      </c>
      <c r="R154" s="2" t="s">
        <v>58</v>
      </c>
      <c r="S154" s="2" t="s">
        <v>60</v>
      </c>
      <c r="T154" s="5">
        <v>1.1430555555555555</v>
      </c>
      <c r="U154" s="2" t="s">
        <v>61</v>
      </c>
      <c r="V154" s="2" t="s">
        <v>62</v>
      </c>
    </row>
    <row r="155" spans="1:22" ht="18" customHeight="1" x14ac:dyDescent="0.3">
      <c r="A155" s="2" t="s">
        <v>963</v>
      </c>
      <c r="B155" s="2" t="s">
        <v>909</v>
      </c>
      <c r="C155" s="2" t="s">
        <v>910</v>
      </c>
      <c r="D155" s="2" t="s">
        <v>1321</v>
      </c>
      <c r="E155" s="2" t="s">
        <v>54</v>
      </c>
      <c r="F155" s="2" t="s">
        <v>55</v>
      </c>
      <c r="G155" s="3">
        <v>46185.579768518517</v>
      </c>
      <c r="H155" s="3">
        <v>46190.487372685187</v>
      </c>
      <c r="I155" s="2" t="s">
        <v>63</v>
      </c>
      <c r="J155" s="2">
        <v>3</v>
      </c>
      <c r="K155" s="2" t="s">
        <v>943</v>
      </c>
      <c r="L155" s="4" t="s">
        <v>944</v>
      </c>
      <c r="M155" s="2"/>
      <c r="N155" s="2" t="s">
        <v>58</v>
      </c>
      <c r="O155" s="2"/>
      <c r="P155" s="2" t="s">
        <v>58</v>
      </c>
      <c r="Q155" s="2" t="s">
        <v>74</v>
      </c>
      <c r="R155" s="2" t="s">
        <v>58</v>
      </c>
      <c r="S155" s="2" t="s">
        <v>60</v>
      </c>
      <c r="T155" s="5">
        <v>1.2826388888888889</v>
      </c>
      <c r="U155" s="2" t="s">
        <v>61</v>
      </c>
      <c r="V155" s="2" t="s">
        <v>62</v>
      </c>
    </row>
    <row r="156" spans="1:22" ht="18" customHeight="1" x14ac:dyDescent="0.3">
      <c r="A156" s="2" t="s">
        <v>964</v>
      </c>
      <c r="B156" s="2" t="s">
        <v>198</v>
      </c>
      <c r="C156" s="2" t="s">
        <v>199</v>
      </c>
      <c r="D156" s="2" t="s">
        <v>1149</v>
      </c>
      <c r="E156" s="2" t="s">
        <v>54</v>
      </c>
      <c r="F156" s="2" t="s">
        <v>55</v>
      </c>
      <c r="G156" s="3">
        <v>46185.643692129626</v>
      </c>
      <c r="H156" s="2"/>
      <c r="I156" s="2" t="s">
        <v>118</v>
      </c>
      <c r="J156" s="2">
        <v>3</v>
      </c>
      <c r="K156" s="4" t="s">
        <v>965</v>
      </c>
      <c r="L156" s="4" t="s">
        <v>966</v>
      </c>
      <c r="M156" s="2"/>
      <c r="N156" s="2" t="s">
        <v>78</v>
      </c>
      <c r="O156" s="2" t="s">
        <v>78</v>
      </c>
      <c r="P156" s="2"/>
      <c r="Q156" s="2"/>
      <c r="R156" s="2" t="s">
        <v>78</v>
      </c>
      <c r="S156" s="2" t="s">
        <v>82</v>
      </c>
      <c r="T156" s="6">
        <v>0</v>
      </c>
      <c r="U156" s="2" t="s">
        <v>83</v>
      </c>
      <c r="V156" s="2" t="s">
        <v>62</v>
      </c>
    </row>
    <row r="157" spans="1:22" ht="18" customHeight="1" x14ac:dyDescent="0.3">
      <c r="A157" s="2" t="s">
        <v>967</v>
      </c>
      <c r="B157" s="2" t="s">
        <v>968</v>
      </c>
      <c r="C157" s="2" t="s">
        <v>969</v>
      </c>
      <c r="D157" s="2" t="s">
        <v>1319</v>
      </c>
      <c r="E157" s="2" t="s">
        <v>66</v>
      </c>
      <c r="F157" s="2" t="s">
        <v>76</v>
      </c>
      <c r="G157" s="3">
        <v>46185.663599537038</v>
      </c>
      <c r="H157" s="3">
        <v>46188.362430555557</v>
      </c>
      <c r="I157" s="2" t="s">
        <v>56</v>
      </c>
      <c r="J157" s="2">
        <v>3</v>
      </c>
      <c r="K157" s="2" t="s">
        <v>57</v>
      </c>
      <c r="L157" s="4" t="s">
        <v>192</v>
      </c>
      <c r="M157" s="2"/>
      <c r="N157" s="2" t="s">
        <v>58</v>
      </c>
      <c r="O157" s="2"/>
      <c r="P157" s="2" t="s">
        <v>58</v>
      </c>
      <c r="Q157" s="2" t="s">
        <v>74</v>
      </c>
      <c r="R157" s="2" t="s">
        <v>58</v>
      </c>
      <c r="S157" s="2" t="s">
        <v>60</v>
      </c>
      <c r="T157" s="6">
        <v>0.13680555555555557</v>
      </c>
      <c r="U157" s="2" t="s">
        <v>61</v>
      </c>
      <c r="V157" s="2" t="s">
        <v>62</v>
      </c>
    </row>
    <row r="158" spans="1:22" ht="18" customHeight="1" x14ac:dyDescent="0.3">
      <c r="A158" s="2" t="s">
        <v>970</v>
      </c>
      <c r="B158" s="2" t="s">
        <v>968</v>
      </c>
      <c r="C158" s="2" t="s">
        <v>969</v>
      </c>
      <c r="D158" s="2" t="s">
        <v>1319</v>
      </c>
      <c r="E158" s="2" t="s">
        <v>66</v>
      </c>
      <c r="F158" s="2" t="s">
        <v>76</v>
      </c>
      <c r="G158" s="3">
        <v>46185.663831018515</v>
      </c>
      <c r="H158" s="3">
        <v>46190.452164351853</v>
      </c>
      <c r="I158" s="2" t="s">
        <v>63</v>
      </c>
      <c r="J158" s="2">
        <v>3</v>
      </c>
      <c r="K158" s="2" t="s">
        <v>971</v>
      </c>
      <c r="L158" s="4" t="s">
        <v>972</v>
      </c>
      <c r="M158" s="2"/>
      <c r="N158" s="2" t="s">
        <v>58</v>
      </c>
      <c r="O158" s="2"/>
      <c r="P158" s="2" t="s">
        <v>58</v>
      </c>
      <c r="Q158" s="2" t="s">
        <v>74</v>
      </c>
      <c r="R158" s="2" t="s">
        <v>58</v>
      </c>
      <c r="S158" s="2" t="s">
        <v>60</v>
      </c>
      <c r="T158" s="5">
        <v>1.163888888888889</v>
      </c>
      <c r="U158" s="2" t="s">
        <v>61</v>
      </c>
      <c r="V158" s="2" t="s">
        <v>62</v>
      </c>
    </row>
    <row r="159" spans="1:22" ht="18" customHeight="1" x14ac:dyDescent="0.3">
      <c r="A159" s="2" t="s">
        <v>973</v>
      </c>
      <c r="B159" s="2" t="s">
        <v>167</v>
      </c>
      <c r="C159" s="2" t="s">
        <v>168</v>
      </c>
      <c r="D159" s="2" t="s">
        <v>1321</v>
      </c>
      <c r="E159" s="2" t="s">
        <v>54</v>
      </c>
      <c r="F159" s="2" t="s">
        <v>55</v>
      </c>
      <c r="G159" s="3">
        <v>46185.706689814811</v>
      </c>
      <c r="H159" s="3">
        <v>46188.641932870371</v>
      </c>
      <c r="I159" s="2" t="s">
        <v>218</v>
      </c>
      <c r="J159" s="2">
        <v>3</v>
      </c>
      <c r="K159" s="2" t="s">
        <v>974</v>
      </c>
      <c r="L159" s="2"/>
      <c r="M159" s="2"/>
      <c r="N159" s="2" t="s">
        <v>71</v>
      </c>
      <c r="O159" s="2"/>
      <c r="P159" s="2" t="s">
        <v>71</v>
      </c>
      <c r="Q159" s="2" t="s">
        <v>104</v>
      </c>
      <c r="R159" s="2" t="s">
        <v>71</v>
      </c>
      <c r="S159" s="2" t="s">
        <v>60</v>
      </c>
      <c r="T159" s="6">
        <v>0.37291666666666667</v>
      </c>
      <c r="U159" s="2" t="s">
        <v>61</v>
      </c>
      <c r="V159" s="2" t="s">
        <v>62</v>
      </c>
    </row>
    <row r="160" spans="1:22" ht="18" customHeight="1" x14ac:dyDescent="0.3">
      <c r="A160" s="2" t="s">
        <v>975</v>
      </c>
      <c r="B160" s="2" t="s">
        <v>167</v>
      </c>
      <c r="C160" s="2" t="s">
        <v>168</v>
      </c>
      <c r="D160" s="2" t="s">
        <v>1321</v>
      </c>
      <c r="E160" s="2" t="s">
        <v>54</v>
      </c>
      <c r="F160" s="2" t="s">
        <v>55</v>
      </c>
      <c r="G160" s="3">
        <v>46185.711168981485</v>
      </c>
      <c r="H160" s="3">
        <v>46188.641400462962</v>
      </c>
      <c r="I160" s="2" t="s">
        <v>218</v>
      </c>
      <c r="J160" s="2">
        <v>3</v>
      </c>
      <c r="K160" s="2" t="s">
        <v>976</v>
      </c>
      <c r="L160" s="2"/>
      <c r="M160" s="2"/>
      <c r="N160" s="2" t="s">
        <v>71</v>
      </c>
      <c r="O160" s="2"/>
      <c r="P160" s="2" t="s">
        <v>71</v>
      </c>
      <c r="Q160" s="2" t="s">
        <v>104</v>
      </c>
      <c r="R160" s="2" t="s">
        <v>71</v>
      </c>
      <c r="S160" s="2" t="s">
        <v>60</v>
      </c>
      <c r="T160" s="6">
        <v>0.36805555555555558</v>
      </c>
      <c r="U160" s="2" t="s">
        <v>61</v>
      </c>
      <c r="V160" s="2" t="s">
        <v>62</v>
      </c>
    </row>
    <row r="161" spans="1:22" ht="18" customHeight="1" x14ac:dyDescent="0.3">
      <c r="A161" s="2" t="s">
        <v>977</v>
      </c>
      <c r="B161" s="2" t="s">
        <v>167</v>
      </c>
      <c r="C161" s="2" t="s">
        <v>168</v>
      </c>
      <c r="D161" s="2" t="s">
        <v>1321</v>
      </c>
      <c r="E161" s="2" t="s">
        <v>54</v>
      </c>
      <c r="F161" s="2" t="s">
        <v>55</v>
      </c>
      <c r="G161" s="3">
        <v>46185.71303240741</v>
      </c>
      <c r="H161" s="3">
        <v>46205.412719907406</v>
      </c>
      <c r="I161" s="2" t="s">
        <v>70</v>
      </c>
      <c r="J161" s="2">
        <v>3</v>
      </c>
      <c r="K161" s="2" t="s">
        <v>978</v>
      </c>
      <c r="L161" s="4" t="s">
        <v>979</v>
      </c>
      <c r="M161" s="2"/>
      <c r="N161" s="2" t="s">
        <v>71</v>
      </c>
      <c r="O161" s="2"/>
      <c r="P161" s="2" t="s">
        <v>71</v>
      </c>
      <c r="Q161" s="2" t="s">
        <v>200</v>
      </c>
      <c r="R161" s="2" t="s">
        <v>71</v>
      </c>
      <c r="S161" s="2" t="s">
        <v>60</v>
      </c>
      <c r="T161" s="5">
        <v>1.2555555555555555</v>
      </c>
      <c r="U161" s="2" t="s">
        <v>61</v>
      </c>
      <c r="V161" s="2" t="s">
        <v>62</v>
      </c>
    </row>
    <row r="162" spans="1:22" ht="18" customHeight="1" x14ac:dyDescent="0.3">
      <c r="A162" s="2" t="s">
        <v>980</v>
      </c>
      <c r="B162" s="2" t="s">
        <v>167</v>
      </c>
      <c r="C162" s="2" t="s">
        <v>168</v>
      </c>
      <c r="D162" s="2" t="s">
        <v>1321</v>
      </c>
      <c r="E162" s="2" t="s">
        <v>54</v>
      </c>
      <c r="F162" s="2" t="s">
        <v>55</v>
      </c>
      <c r="G162" s="3">
        <v>46185.713923611111</v>
      </c>
      <c r="H162" s="3">
        <v>46197.352997685186</v>
      </c>
      <c r="I162" s="2" t="s">
        <v>97</v>
      </c>
      <c r="J162" s="2">
        <v>3</v>
      </c>
      <c r="K162" s="2" t="s">
        <v>981</v>
      </c>
      <c r="L162" s="2"/>
      <c r="M162" s="2"/>
      <c r="N162" s="2" t="s">
        <v>105</v>
      </c>
      <c r="O162" s="2"/>
      <c r="P162" s="2" t="s">
        <v>98</v>
      </c>
      <c r="Q162" s="2" t="s">
        <v>664</v>
      </c>
      <c r="R162" s="2" t="s">
        <v>105</v>
      </c>
      <c r="S162" s="2" t="s">
        <v>60</v>
      </c>
      <c r="T162" s="6">
        <v>0.63680555555555551</v>
      </c>
      <c r="U162" s="2" t="s">
        <v>61</v>
      </c>
      <c r="V162" s="2" t="s">
        <v>62</v>
      </c>
    </row>
    <row r="163" spans="1:22" ht="18" customHeight="1" x14ac:dyDescent="0.3">
      <c r="A163" s="2" t="s">
        <v>982</v>
      </c>
      <c r="B163" s="2" t="s">
        <v>167</v>
      </c>
      <c r="C163" s="2" t="s">
        <v>168</v>
      </c>
      <c r="D163" s="2" t="s">
        <v>1321</v>
      </c>
      <c r="E163" s="2" t="s">
        <v>54</v>
      </c>
      <c r="F163" s="2" t="s">
        <v>55</v>
      </c>
      <c r="G163" s="3">
        <v>46185.719664351855</v>
      </c>
      <c r="H163" s="3">
        <v>46198.385891203703</v>
      </c>
      <c r="I163" s="2" t="s">
        <v>97</v>
      </c>
      <c r="J163" s="2">
        <v>3</v>
      </c>
      <c r="K163" s="2" t="s">
        <v>983</v>
      </c>
      <c r="L163" s="2"/>
      <c r="M163" s="2"/>
      <c r="N163" s="2" t="s">
        <v>105</v>
      </c>
      <c r="O163" s="2"/>
      <c r="P163" s="2" t="s">
        <v>98</v>
      </c>
      <c r="Q163" s="2" t="s">
        <v>664</v>
      </c>
      <c r="R163" s="2" t="s">
        <v>105</v>
      </c>
      <c r="S163" s="2" t="s">
        <v>60</v>
      </c>
      <c r="T163" s="5">
        <v>1.1027777777777779</v>
      </c>
      <c r="U163" s="2" t="s">
        <v>61</v>
      </c>
      <c r="V163" s="2" t="s">
        <v>62</v>
      </c>
    </row>
    <row r="164" spans="1:22" ht="18" customHeight="1" x14ac:dyDescent="0.3">
      <c r="A164" s="2" t="s">
        <v>984</v>
      </c>
      <c r="B164" s="2" t="s">
        <v>271</v>
      </c>
      <c r="C164" s="2" t="s">
        <v>272</v>
      </c>
      <c r="D164" s="2" t="s">
        <v>1319</v>
      </c>
      <c r="E164" s="2" t="s">
        <v>66</v>
      </c>
      <c r="F164" s="2" t="s">
        <v>67</v>
      </c>
      <c r="G164" s="3">
        <v>46188.392939814818</v>
      </c>
      <c r="H164" s="3">
        <v>46195.359155092592</v>
      </c>
      <c r="I164" s="2" t="s">
        <v>93</v>
      </c>
      <c r="J164" s="2">
        <v>3</v>
      </c>
      <c r="K164" s="2" t="s">
        <v>985</v>
      </c>
      <c r="L164" s="4" t="s">
        <v>986</v>
      </c>
      <c r="M164" s="2"/>
      <c r="N164" s="2" t="s">
        <v>78</v>
      </c>
      <c r="O164" s="2"/>
      <c r="P164" s="2" t="s">
        <v>79</v>
      </c>
      <c r="Q164" s="2" t="s">
        <v>80</v>
      </c>
      <c r="R164" s="2" t="s">
        <v>78</v>
      </c>
      <c r="S164" s="2" t="s">
        <v>60</v>
      </c>
      <c r="T164" s="6">
        <v>4.027777777777778E-2</v>
      </c>
      <c r="U164" s="2" t="s">
        <v>61</v>
      </c>
      <c r="V164" s="2" t="s">
        <v>62</v>
      </c>
    </row>
    <row r="165" spans="1:22" ht="18" customHeight="1" x14ac:dyDescent="0.3">
      <c r="A165" s="2" t="s">
        <v>987</v>
      </c>
      <c r="B165" s="2" t="s">
        <v>302</v>
      </c>
      <c r="C165" s="2" t="s">
        <v>303</v>
      </c>
      <c r="D165" s="2" t="s">
        <v>1149</v>
      </c>
      <c r="E165" s="2" t="s">
        <v>54</v>
      </c>
      <c r="F165" s="2" t="s">
        <v>55</v>
      </c>
      <c r="G165" s="3">
        <v>46188.416006944448</v>
      </c>
      <c r="H165" s="3">
        <v>46188.490312499998</v>
      </c>
      <c r="I165" s="2" t="s">
        <v>95</v>
      </c>
      <c r="J165" s="2">
        <v>3</v>
      </c>
      <c r="K165" s="2" t="s">
        <v>96</v>
      </c>
      <c r="L165" s="4" t="s">
        <v>988</v>
      </c>
      <c r="M165" s="2"/>
      <c r="N165" s="2" t="s">
        <v>137</v>
      </c>
      <c r="O165" s="2"/>
      <c r="P165" s="2" t="s">
        <v>137</v>
      </c>
      <c r="Q165" s="2" t="s">
        <v>138</v>
      </c>
      <c r="R165" s="2" t="s">
        <v>137</v>
      </c>
      <c r="S165" s="2" t="s">
        <v>60</v>
      </c>
      <c r="T165" s="6">
        <v>7.4305555555555555E-2</v>
      </c>
      <c r="U165" s="2" t="s">
        <v>61</v>
      </c>
      <c r="V165" s="2" t="s">
        <v>62</v>
      </c>
    </row>
    <row r="166" spans="1:22" ht="18" customHeight="1" x14ac:dyDescent="0.3">
      <c r="A166" s="2" t="s">
        <v>989</v>
      </c>
      <c r="B166" s="2" t="s">
        <v>882</v>
      </c>
      <c r="C166" s="2" t="s">
        <v>883</v>
      </c>
      <c r="D166" s="2" t="s">
        <v>1319</v>
      </c>
      <c r="E166" s="2" t="s">
        <v>66</v>
      </c>
      <c r="F166" s="2" t="s">
        <v>76</v>
      </c>
      <c r="G166" s="3">
        <v>46188.437337962961</v>
      </c>
      <c r="H166" s="3">
        <v>46196.48605324074</v>
      </c>
      <c r="I166" s="2" t="s">
        <v>88</v>
      </c>
      <c r="J166" s="2">
        <v>2</v>
      </c>
      <c r="K166" s="2" t="s">
        <v>990</v>
      </c>
      <c r="L166" s="4" t="s">
        <v>991</v>
      </c>
      <c r="M166" s="2"/>
      <c r="N166" s="2" t="s">
        <v>81</v>
      </c>
      <c r="O166" s="2"/>
      <c r="P166" s="2" t="s">
        <v>81</v>
      </c>
      <c r="Q166" s="2" t="s">
        <v>89</v>
      </c>
      <c r="R166" s="2" t="s">
        <v>81</v>
      </c>
      <c r="S166" s="2" t="s">
        <v>60</v>
      </c>
      <c r="T166" s="5">
        <v>2.6743055555555557</v>
      </c>
      <c r="U166" s="2" t="s">
        <v>61</v>
      </c>
      <c r="V166" s="2" t="s">
        <v>62</v>
      </c>
    </row>
    <row r="167" spans="1:22" ht="18" customHeight="1" x14ac:dyDescent="0.3">
      <c r="A167" s="2" t="s">
        <v>994</v>
      </c>
      <c r="B167" s="2" t="s">
        <v>992</v>
      </c>
      <c r="C167" s="2" t="s">
        <v>993</v>
      </c>
      <c r="D167" s="2" t="s">
        <v>1319</v>
      </c>
      <c r="E167" s="2" t="s">
        <v>66</v>
      </c>
      <c r="F167" s="2" t="s">
        <v>76</v>
      </c>
      <c r="G167" s="3">
        <v>46188.462638888886</v>
      </c>
      <c r="H167" s="3">
        <v>46188.481273148151</v>
      </c>
      <c r="I167" s="2" t="s">
        <v>56</v>
      </c>
      <c r="J167" s="2">
        <v>3</v>
      </c>
      <c r="K167" s="2" t="s">
        <v>57</v>
      </c>
      <c r="L167" s="4" t="s">
        <v>192</v>
      </c>
      <c r="M167" s="2"/>
      <c r="N167" s="2" t="s">
        <v>58</v>
      </c>
      <c r="O167" s="2"/>
      <c r="P167" s="2" t="s">
        <v>58</v>
      </c>
      <c r="Q167" s="2" t="s">
        <v>74</v>
      </c>
      <c r="R167" s="2" t="s">
        <v>58</v>
      </c>
      <c r="S167" s="2" t="s">
        <v>60</v>
      </c>
      <c r="T167" s="6">
        <v>1.8749999999999999E-2</v>
      </c>
      <c r="U167" s="2" t="s">
        <v>61</v>
      </c>
      <c r="V167" s="2" t="s">
        <v>62</v>
      </c>
    </row>
    <row r="168" spans="1:22" ht="18" customHeight="1" x14ac:dyDescent="0.3">
      <c r="A168" s="2" t="s">
        <v>995</v>
      </c>
      <c r="B168" s="2" t="s">
        <v>992</v>
      </c>
      <c r="C168" s="2" t="s">
        <v>993</v>
      </c>
      <c r="D168" s="2" t="s">
        <v>1319</v>
      </c>
      <c r="E168" s="2" t="s">
        <v>66</v>
      </c>
      <c r="F168" s="2" t="s">
        <v>76</v>
      </c>
      <c r="G168" s="3">
        <v>46188.462905092594</v>
      </c>
      <c r="H168" s="3">
        <v>46188.591574074075</v>
      </c>
      <c r="I168" s="2" t="s">
        <v>63</v>
      </c>
      <c r="J168" s="2">
        <v>3</v>
      </c>
      <c r="K168" s="2" t="s">
        <v>971</v>
      </c>
      <c r="L168" s="4" t="s">
        <v>389</v>
      </c>
      <c r="M168" s="2"/>
      <c r="N168" s="2" t="s">
        <v>58</v>
      </c>
      <c r="O168" s="2"/>
      <c r="P168" s="2" t="s">
        <v>58</v>
      </c>
      <c r="Q168" s="2" t="s">
        <v>74</v>
      </c>
      <c r="R168" s="2" t="s">
        <v>58</v>
      </c>
      <c r="S168" s="2" t="s">
        <v>60</v>
      </c>
      <c r="T168" s="6">
        <v>0.12916666666666668</v>
      </c>
      <c r="U168" s="2" t="s">
        <v>61</v>
      </c>
      <c r="V168" s="2" t="s">
        <v>62</v>
      </c>
    </row>
    <row r="169" spans="1:22" ht="18" customHeight="1" x14ac:dyDescent="0.3">
      <c r="A169" s="2" t="s">
        <v>996</v>
      </c>
      <c r="B169" s="2" t="s">
        <v>997</v>
      </c>
      <c r="C169" s="2" t="s">
        <v>998</v>
      </c>
      <c r="D169" s="2" t="s">
        <v>1319</v>
      </c>
      <c r="E169" s="2" t="s">
        <v>66</v>
      </c>
      <c r="F169" s="2" t="s">
        <v>76</v>
      </c>
      <c r="G169" s="3">
        <v>46188.468055555553</v>
      </c>
      <c r="H169" s="3">
        <v>46188.689027777778</v>
      </c>
      <c r="I169" s="2" t="s">
        <v>178</v>
      </c>
      <c r="J169" s="2">
        <v>3</v>
      </c>
      <c r="K169" s="2" t="s">
        <v>999</v>
      </c>
      <c r="L169" s="4" t="s">
        <v>115</v>
      </c>
      <c r="M169" s="2"/>
      <c r="N169" s="2" t="s">
        <v>81</v>
      </c>
      <c r="O169" s="2"/>
      <c r="P169" s="2" t="s">
        <v>81</v>
      </c>
      <c r="Q169" s="2" t="s">
        <v>89</v>
      </c>
      <c r="R169" s="2" t="s">
        <v>81</v>
      </c>
      <c r="S169" s="2" t="s">
        <v>60</v>
      </c>
      <c r="T169" s="6">
        <v>0.22152777777777777</v>
      </c>
      <c r="U169" s="2" t="s">
        <v>61</v>
      </c>
      <c r="V169" s="2" t="s">
        <v>62</v>
      </c>
    </row>
    <row r="170" spans="1:22" ht="18" customHeight="1" x14ac:dyDescent="0.3">
      <c r="A170" s="2" t="s">
        <v>1000</v>
      </c>
      <c r="B170" s="2" t="s">
        <v>293</v>
      </c>
      <c r="C170" s="2" t="s">
        <v>294</v>
      </c>
      <c r="D170" s="2" t="s">
        <v>1321</v>
      </c>
      <c r="E170" s="2" t="s">
        <v>54</v>
      </c>
      <c r="F170" s="2" t="s">
        <v>55</v>
      </c>
      <c r="G170" s="3">
        <v>46188.47347222222</v>
      </c>
      <c r="H170" s="3">
        <v>46204.431122685186</v>
      </c>
      <c r="I170" s="2" t="s">
        <v>97</v>
      </c>
      <c r="J170" s="2">
        <v>2</v>
      </c>
      <c r="K170" s="2" t="s">
        <v>1001</v>
      </c>
      <c r="L170" s="2"/>
      <c r="M170" s="2"/>
      <c r="N170" s="2" t="s">
        <v>105</v>
      </c>
      <c r="O170" s="2"/>
      <c r="P170" s="2" t="s">
        <v>98</v>
      </c>
      <c r="Q170" s="2" t="s">
        <v>106</v>
      </c>
      <c r="R170" s="2" t="s">
        <v>105</v>
      </c>
      <c r="S170" s="2" t="s">
        <v>60</v>
      </c>
      <c r="T170" s="5">
        <v>2.942361111111111</v>
      </c>
      <c r="U170" s="2" t="s">
        <v>108</v>
      </c>
      <c r="V170" s="2" t="s">
        <v>62</v>
      </c>
    </row>
    <row r="171" spans="1:22" ht="18" customHeight="1" x14ac:dyDescent="0.3">
      <c r="A171" s="2" t="s">
        <v>1002</v>
      </c>
      <c r="B171" s="2" t="s">
        <v>430</v>
      </c>
      <c r="C171" s="2" t="s">
        <v>431</v>
      </c>
      <c r="D171" s="2" t="s">
        <v>1149</v>
      </c>
      <c r="E171" s="2" t="s">
        <v>54</v>
      </c>
      <c r="F171" s="2" t="s">
        <v>67</v>
      </c>
      <c r="G171" s="3">
        <v>46188.475717592592</v>
      </c>
      <c r="H171" s="3">
        <v>46188.490914351853</v>
      </c>
      <c r="I171" s="2" t="s">
        <v>112</v>
      </c>
      <c r="J171" s="2">
        <v>3</v>
      </c>
      <c r="K171" s="2" t="s">
        <v>1003</v>
      </c>
      <c r="L171" s="4" t="s">
        <v>1004</v>
      </c>
      <c r="M171" s="2"/>
      <c r="N171" s="2" t="s">
        <v>78</v>
      </c>
      <c r="O171" s="2"/>
      <c r="P171" s="2" t="s">
        <v>79</v>
      </c>
      <c r="Q171" s="2" t="s">
        <v>80</v>
      </c>
      <c r="R171" s="2" t="s">
        <v>78</v>
      </c>
      <c r="S171" s="2" t="s">
        <v>60</v>
      </c>
      <c r="T171" s="6">
        <v>1.5277777777777777E-2</v>
      </c>
      <c r="U171" s="2" t="s">
        <v>61</v>
      </c>
      <c r="V171" s="2" t="s">
        <v>62</v>
      </c>
    </row>
    <row r="172" spans="1:22" ht="18" customHeight="1" x14ac:dyDescent="0.3">
      <c r="A172" s="2" t="s">
        <v>1005</v>
      </c>
      <c r="B172" s="2" t="s">
        <v>771</v>
      </c>
      <c r="C172" s="2" t="s">
        <v>772</v>
      </c>
      <c r="D172" s="2" t="s">
        <v>1149</v>
      </c>
      <c r="E172" s="2" t="s">
        <v>54</v>
      </c>
      <c r="F172" s="2" t="s">
        <v>76</v>
      </c>
      <c r="G172" s="3">
        <v>46188.48773148148</v>
      </c>
      <c r="H172" s="3">
        <v>46189.329456018517</v>
      </c>
      <c r="I172" s="2" t="s">
        <v>73</v>
      </c>
      <c r="J172" s="2">
        <v>2</v>
      </c>
      <c r="K172" s="2" t="s">
        <v>1006</v>
      </c>
      <c r="L172" s="4" t="s">
        <v>1007</v>
      </c>
      <c r="M172" s="2"/>
      <c r="N172" s="2" t="s">
        <v>58</v>
      </c>
      <c r="O172" s="2"/>
      <c r="P172" s="2" t="s">
        <v>58</v>
      </c>
      <c r="Q172" s="2" t="s">
        <v>65</v>
      </c>
      <c r="R172" s="2" t="s">
        <v>58</v>
      </c>
      <c r="S172" s="2" t="s">
        <v>60</v>
      </c>
      <c r="T172" s="6">
        <v>0.28333333333333333</v>
      </c>
      <c r="U172" s="2" t="s">
        <v>61</v>
      </c>
      <c r="V172" s="2" t="s">
        <v>62</v>
      </c>
    </row>
    <row r="173" spans="1:22" ht="18" customHeight="1" x14ac:dyDescent="0.3">
      <c r="A173" s="2" t="s">
        <v>1008</v>
      </c>
      <c r="B173" s="2" t="s">
        <v>788</v>
      </c>
      <c r="C173" s="2" t="s">
        <v>789</v>
      </c>
      <c r="D173" s="2" t="s">
        <v>1321</v>
      </c>
      <c r="E173" s="2" t="s">
        <v>54</v>
      </c>
      <c r="F173" s="2" t="s">
        <v>55</v>
      </c>
      <c r="G173" s="3">
        <v>46188.490324074075</v>
      </c>
      <c r="H173" s="3">
        <v>46191.383344907408</v>
      </c>
      <c r="I173" s="2" t="s">
        <v>77</v>
      </c>
      <c r="J173" s="2">
        <v>3</v>
      </c>
      <c r="K173" s="2" t="s">
        <v>1009</v>
      </c>
      <c r="L173" s="4" t="s">
        <v>179</v>
      </c>
      <c r="M173" s="2"/>
      <c r="N173" s="2" t="s">
        <v>81</v>
      </c>
      <c r="O173" s="2"/>
      <c r="P173" s="2" t="s">
        <v>78</v>
      </c>
      <c r="Q173" s="2" t="s">
        <v>94</v>
      </c>
      <c r="R173" s="2" t="s">
        <v>81</v>
      </c>
      <c r="S173" s="2" t="s">
        <v>60</v>
      </c>
      <c r="T173" s="5">
        <v>1.2055555555555555</v>
      </c>
      <c r="U173" s="2" t="s">
        <v>61</v>
      </c>
      <c r="V173" s="2" t="s">
        <v>62</v>
      </c>
    </row>
    <row r="174" spans="1:22" ht="18" customHeight="1" x14ac:dyDescent="0.3">
      <c r="A174" s="2" t="s">
        <v>1010</v>
      </c>
      <c r="B174" s="2" t="s">
        <v>786</v>
      </c>
      <c r="C174" s="2" t="s">
        <v>787</v>
      </c>
      <c r="D174" s="2" t="s">
        <v>1321</v>
      </c>
      <c r="E174" s="2" t="s">
        <v>54</v>
      </c>
      <c r="F174" s="2" t="s">
        <v>55</v>
      </c>
      <c r="G174" s="3">
        <v>46188.490381944444</v>
      </c>
      <c r="H174" s="3">
        <v>46191.383020833331</v>
      </c>
      <c r="I174" s="2" t="s">
        <v>77</v>
      </c>
      <c r="J174" s="2">
        <v>3</v>
      </c>
      <c r="K174" s="2" t="s">
        <v>1011</v>
      </c>
      <c r="L174" s="4" t="s">
        <v>179</v>
      </c>
      <c r="M174" s="2"/>
      <c r="N174" s="2" t="s">
        <v>81</v>
      </c>
      <c r="O174" s="2"/>
      <c r="P174" s="2" t="s">
        <v>78</v>
      </c>
      <c r="Q174" s="2" t="s">
        <v>94</v>
      </c>
      <c r="R174" s="2" t="s">
        <v>81</v>
      </c>
      <c r="S174" s="2" t="s">
        <v>60</v>
      </c>
      <c r="T174" s="5">
        <v>1.2055555555555555</v>
      </c>
      <c r="U174" s="2" t="s">
        <v>61</v>
      </c>
      <c r="V174" s="2" t="s">
        <v>62</v>
      </c>
    </row>
    <row r="175" spans="1:22" ht="18" customHeight="1" x14ac:dyDescent="0.3">
      <c r="A175" s="2" t="s">
        <v>1012</v>
      </c>
      <c r="B175" s="2" t="s">
        <v>167</v>
      </c>
      <c r="C175" s="2" t="s">
        <v>168</v>
      </c>
      <c r="D175" s="2" t="s">
        <v>1321</v>
      </c>
      <c r="E175" s="2" t="s">
        <v>54</v>
      </c>
      <c r="F175" s="2" t="s">
        <v>55</v>
      </c>
      <c r="G175" s="3">
        <v>46188.508472222224</v>
      </c>
      <c r="H175" s="3">
        <v>46204.556655092594</v>
      </c>
      <c r="I175" s="2" t="s">
        <v>97</v>
      </c>
      <c r="J175" s="2">
        <v>3</v>
      </c>
      <c r="K175" s="2" t="s">
        <v>1013</v>
      </c>
      <c r="L175" s="4" t="s">
        <v>1014</v>
      </c>
      <c r="M175" s="2"/>
      <c r="N175" s="2" t="s">
        <v>105</v>
      </c>
      <c r="O175" s="2"/>
      <c r="P175" s="2" t="s">
        <v>98</v>
      </c>
      <c r="Q175" s="2" t="s">
        <v>106</v>
      </c>
      <c r="R175" s="2" t="s">
        <v>105</v>
      </c>
      <c r="S175" s="2" t="s">
        <v>60</v>
      </c>
      <c r="T175" s="5">
        <v>1.0520833333333333</v>
      </c>
      <c r="U175" s="2" t="s">
        <v>61</v>
      </c>
      <c r="V175" s="2" t="s">
        <v>62</v>
      </c>
    </row>
    <row r="176" spans="1:22" ht="18" customHeight="1" x14ac:dyDescent="0.3">
      <c r="A176" s="2" t="s">
        <v>1015</v>
      </c>
      <c r="B176" s="2" t="s">
        <v>167</v>
      </c>
      <c r="C176" s="2" t="s">
        <v>168</v>
      </c>
      <c r="D176" s="2" t="s">
        <v>1321</v>
      </c>
      <c r="E176" s="2" t="s">
        <v>54</v>
      </c>
      <c r="F176" s="2" t="s">
        <v>55</v>
      </c>
      <c r="G176" s="3">
        <v>46188.510046296295</v>
      </c>
      <c r="H176" s="3">
        <v>46190.677222222221</v>
      </c>
      <c r="I176" s="2" t="s">
        <v>97</v>
      </c>
      <c r="J176" s="2">
        <v>3</v>
      </c>
      <c r="K176" s="2" t="s">
        <v>1016</v>
      </c>
      <c r="L176" s="4" t="s">
        <v>1017</v>
      </c>
      <c r="M176" s="2"/>
      <c r="N176" s="2" t="s">
        <v>105</v>
      </c>
      <c r="O176" s="2"/>
      <c r="P176" s="2" t="s">
        <v>98</v>
      </c>
      <c r="Q176" s="2" t="s">
        <v>171</v>
      </c>
      <c r="R176" s="2" t="s">
        <v>105</v>
      </c>
      <c r="S176" s="2" t="s">
        <v>60</v>
      </c>
      <c r="T176" s="5">
        <v>1.0423611111111111</v>
      </c>
      <c r="U176" s="2" t="s">
        <v>61</v>
      </c>
      <c r="V176" s="2" t="s">
        <v>62</v>
      </c>
    </row>
    <row r="177" spans="1:22" ht="18" customHeight="1" x14ac:dyDescent="0.3">
      <c r="A177" s="2" t="s">
        <v>1018</v>
      </c>
      <c r="B177" s="2" t="s">
        <v>230</v>
      </c>
      <c r="C177" s="2" t="s">
        <v>231</v>
      </c>
      <c r="D177" s="2" t="s">
        <v>1320</v>
      </c>
      <c r="E177" s="2" t="s">
        <v>75</v>
      </c>
      <c r="F177" s="2" t="s">
        <v>55</v>
      </c>
      <c r="G177" s="3">
        <v>46188.622083333335</v>
      </c>
      <c r="H177" s="3">
        <v>46199.534629629627</v>
      </c>
      <c r="I177" s="2" t="s">
        <v>97</v>
      </c>
      <c r="J177" s="2">
        <v>3</v>
      </c>
      <c r="K177" s="2" t="s">
        <v>1019</v>
      </c>
      <c r="L177" s="4" t="s">
        <v>1020</v>
      </c>
      <c r="M177" s="2"/>
      <c r="N177" s="2" t="s">
        <v>105</v>
      </c>
      <c r="O177" s="2"/>
      <c r="P177" s="2" t="s">
        <v>98</v>
      </c>
      <c r="Q177" s="2" t="s">
        <v>664</v>
      </c>
      <c r="R177" s="2" t="s">
        <v>105</v>
      </c>
      <c r="S177" s="2" t="s">
        <v>60</v>
      </c>
      <c r="T177" s="5">
        <v>3.8506944444444446</v>
      </c>
      <c r="U177" s="2" t="s">
        <v>61</v>
      </c>
      <c r="V177" s="2" t="s">
        <v>62</v>
      </c>
    </row>
    <row r="178" spans="1:22" ht="18" customHeight="1" x14ac:dyDescent="0.3">
      <c r="A178" s="2" t="s">
        <v>1021</v>
      </c>
      <c r="B178" s="2" t="s">
        <v>1022</v>
      </c>
      <c r="C178" s="2" t="s">
        <v>1023</v>
      </c>
      <c r="D178" s="2" t="s">
        <v>1319</v>
      </c>
      <c r="E178" s="2" t="s">
        <v>66</v>
      </c>
      <c r="F178" s="2" t="s">
        <v>76</v>
      </c>
      <c r="G178" s="3">
        <v>46188.63652777778</v>
      </c>
      <c r="H178" s="3">
        <v>46190.597627314812</v>
      </c>
      <c r="I178" s="2" t="s">
        <v>77</v>
      </c>
      <c r="J178" s="2">
        <v>2</v>
      </c>
      <c r="K178" s="2" t="s">
        <v>1024</v>
      </c>
      <c r="L178" s="4" t="s">
        <v>158</v>
      </c>
      <c r="M178" s="2"/>
      <c r="N178" s="2" t="s">
        <v>81</v>
      </c>
      <c r="O178" s="2"/>
      <c r="P178" s="2" t="s">
        <v>81</v>
      </c>
      <c r="Q178" s="2" t="s">
        <v>89</v>
      </c>
      <c r="R178" s="2" t="s">
        <v>81</v>
      </c>
      <c r="S178" s="2" t="s">
        <v>60</v>
      </c>
      <c r="T178" s="6">
        <v>0.83611111111111114</v>
      </c>
      <c r="U178" s="2" t="s">
        <v>61</v>
      </c>
      <c r="V178" s="2" t="s">
        <v>62</v>
      </c>
    </row>
    <row r="179" spans="1:22" ht="18" customHeight="1" x14ac:dyDescent="0.3">
      <c r="A179" s="2" t="s">
        <v>1026</v>
      </c>
      <c r="B179" s="2" t="s">
        <v>1027</v>
      </c>
      <c r="C179" s="2" t="s">
        <v>1028</v>
      </c>
      <c r="D179" s="2" t="s">
        <v>1319</v>
      </c>
      <c r="E179" s="2" t="s">
        <v>66</v>
      </c>
      <c r="F179" s="2" t="s">
        <v>67</v>
      </c>
      <c r="G179" s="3">
        <v>46188.69803240741</v>
      </c>
      <c r="H179" s="3">
        <v>46191.441631944443</v>
      </c>
      <c r="I179" s="2" t="s">
        <v>63</v>
      </c>
      <c r="J179" s="2">
        <v>3</v>
      </c>
      <c r="K179" s="2" t="s">
        <v>1029</v>
      </c>
      <c r="L179" s="4" t="s">
        <v>1030</v>
      </c>
      <c r="M179" s="2"/>
      <c r="N179" s="2" t="s">
        <v>58</v>
      </c>
      <c r="O179" s="2"/>
      <c r="P179" s="2" t="s">
        <v>58</v>
      </c>
      <c r="Q179" s="2" t="s">
        <v>74</v>
      </c>
      <c r="R179" s="2" t="s">
        <v>58</v>
      </c>
      <c r="S179" s="2" t="s">
        <v>60</v>
      </c>
      <c r="T179" s="5">
        <v>1.1187499999999999</v>
      </c>
      <c r="U179" s="2" t="s">
        <v>61</v>
      </c>
      <c r="V179" s="2" t="s">
        <v>62</v>
      </c>
    </row>
    <row r="180" spans="1:22" ht="18" customHeight="1" x14ac:dyDescent="0.3">
      <c r="A180" s="2" t="s">
        <v>1031</v>
      </c>
      <c r="B180" s="2" t="s">
        <v>255</v>
      </c>
      <c r="C180" s="2" t="s">
        <v>256</v>
      </c>
      <c r="D180" s="2" t="s">
        <v>1320</v>
      </c>
      <c r="E180" s="2" t="s">
        <v>75</v>
      </c>
      <c r="F180" s="2" t="s">
        <v>55</v>
      </c>
      <c r="G180" s="3">
        <v>46189.420960648145</v>
      </c>
      <c r="H180" s="3">
        <v>46192.68372685185</v>
      </c>
      <c r="I180" s="2" t="s">
        <v>97</v>
      </c>
      <c r="J180" s="2">
        <v>3</v>
      </c>
      <c r="K180" s="2" t="s">
        <v>1032</v>
      </c>
      <c r="L180" s="2"/>
      <c r="M180" s="2"/>
      <c r="N180" s="2" t="s">
        <v>105</v>
      </c>
      <c r="O180" s="2"/>
      <c r="P180" s="2" t="s">
        <v>98</v>
      </c>
      <c r="Q180" s="2" t="s">
        <v>106</v>
      </c>
      <c r="R180" s="2" t="s">
        <v>105</v>
      </c>
      <c r="S180" s="2" t="s">
        <v>60</v>
      </c>
      <c r="T180" s="5">
        <v>1.5756944444444445</v>
      </c>
      <c r="U180" s="2" t="s">
        <v>61</v>
      </c>
      <c r="V180" s="2" t="s">
        <v>62</v>
      </c>
    </row>
    <row r="181" spans="1:22" ht="18" customHeight="1" x14ac:dyDescent="0.3">
      <c r="A181" s="2" t="s">
        <v>1033</v>
      </c>
      <c r="B181" s="2" t="s">
        <v>1034</v>
      </c>
      <c r="C181" s="2" t="s">
        <v>1035</v>
      </c>
      <c r="D181" s="2" t="s">
        <v>1319</v>
      </c>
      <c r="E181" s="2" t="s">
        <v>66</v>
      </c>
      <c r="F181" s="2" t="s">
        <v>76</v>
      </c>
      <c r="G181" s="3">
        <v>46190.381076388891</v>
      </c>
      <c r="H181" s="3">
        <v>46191.387418981481</v>
      </c>
      <c r="I181" s="2" t="s">
        <v>165</v>
      </c>
      <c r="J181" s="2">
        <v>3</v>
      </c>
      <c r="K181" s="2" t="s">
        <v>166</v>
      </c>
      <c r="L181" s="4" t="s">
        <v>1036</v>
      </c>
      <c r="M181" s="2"/>
      <c r="N181" s="2" t="s">
        <v>58</v>
      </c>
      <c r="O181" s="2"/>
      <c r="P181" s="2" t="s">
        <v>58</v>
      </c>
      <c r="Q181" s="2" t="s">
        <v>74</v>
      </c>
      <c r="R181" s="2" t="s">
        <v>58</v>
      </c>
      <c r="S181" s="2" t="s">
        <v>60</v>
      </c>
      <c r="T181" s="6">
        <v>0.44444444444444442</v>
      </c>
      <c r="U181" s="2" t="s">
        <v>61</v>
      </c>
      <c r="V181" s="2" t="s">
        <v>62</v>
      </c>
    </row>
    <row r="182" spans="1:22" ht="18" customHeight="1" x14ac:dyDescent="0.3">
      <c r="A182" s="2" t="s">
        <v>1037</v>
      </c>
      <c r="B182" s="2" t="s">
        <v>1038</v>
      </c>
      <c r="C182" s="2" t="s">
        <v>1039</v>
      </c>
      <c r="D182" s="2" t="s">
        <v>1319</v>
      </c>
      <c r="E182" s="2" t="s">
        <v>66</v>
      </c>
      <c r="F182" s="2" t="s">
        <v>76</v>
      </c>
      <c r="G182" s="3">
        <v>46190.392013888886</v>
      </c>
      <c r="H182" s="3">
        <v>46198.679224537038</v>
      </c>
      <c r="I182" s="2" t="s">
        <v>88</v>
      </c>
      <c r="J182" s="2">
        <v>3</v>
      </c>
      <c r="K182" s="2" t="s">
        <v>1040</v>
      </c>
      <c r="L182" s="4" t="s">
        <v>1041</v>
      </c>
      <c r="M182" s="2"/>
      <c r="N182" s="2" t="s">
        <v>81</v>
      </c>
      <c r="O182" s="2"/>
      <c r="P182" s="2" t="s">
        <v>81</v>
      </c>
      <c r="Q182" s="2" t="s">
        <v>90</v>
      </c>
      <c r="R182" s="2" t="s">
        <v>81</v>
      </c>
      <c r="S182" s="2" t="s">
        <v>60</v>
      </c>
      <c r="T182" s="5">
        <v>2.9104166666666669</v>
      </c>
      <c r="U182" s="2" t="s">
        <v>61</v>
      </c>
      <c r="V182" s="2" t="s">
        <v>62</v>
      </c>
    </row>
    <row r="183" spans="1:22" ht="18" customHeight="1" x14ac:dyDescent="0.3">
      <c r="A183" s="2" t="s">
        <v>1042</v>
      </c>
      <c r="B183" s="2" t="s">
        <v>148</v>
      </c>
      <c r="C183" s="2" t="s">
        <v>149</v>
      </c>
      <c r="D183" s="2" t="s">
        <v>1321</v>
      </c>
      <c r="E183" s="2" t="s">
        <v>54</v>
      </c>
      <c r="F183" s="2" t="s">
        <v>55</v>
      </c>
      <c r="G183" s="3">
        <v>46190.403854166667</v>
      </c>
      <c r="H183" s="3">
        <v>46198.415138888886</v>
      </c>
      <c r="I183" s="2" t="s">
        <v>77</v>
      </c>
      <c r="J183" s="2">
        <v>2</v>
      </c>
      <c r="K183" s="2" t="s">
        <v>1043</v>
      </c>
      <c r="L183" s="4" t="s">
        <v>1044</v>
      </c>
      <c r="M183" s="2"/>
      <c r="N183" s="2" t="s">
        <v>81</v>
      </c>
      <c r="O183" s="2"/>
      <c r="P183" s="2" t="s">
        <v>78</v>
      </c>
      <c r="Q183" s="2" t="s">
        <v>94</v>
      </c>
      <c r="R183" s="2" t="s">
        <v>81</v>
      </c>
      <c r="S183" s="2" t="s">
        <v>60</v>
      </c>
      <c r="T183" s="5">
        <v>2.6368055555555556</v>
      </c>
      <c r="U183" s="2" t="s">
        <v>61</v>
      </c>
      <c r="V183" s="2" t="s">
        <v>62</v>
      </c>
    </row>
    <row r="184" spans="1:22" ht="18" customHeight="1" x14ac:dyDescent="0.3">
      <c r="A184" s="2" t="s">
        <v>1045</v>
      </c>
      <c r="B184" s="2" t="s">
        <v>1046</v>
      </c>
      <c r="C184" s="2" t="s">
        <v>1047</v>
      </c>
      <c r="D184" s="2" t="s">
        <v>1319</v>
      </c>
      <c r="E184" s="2" t="s">
        <v>66</v>
      </c>
      <c r="F184" s="2" t="s">
        <v>76</v>
      </c>
      <c r="G184" s="3">
        <v>46190.412870370368</v>
      </c>
      <c r="H184" s="3">
        <v>46190.604826388888</v>
      </c>
      <c r="I184" s="2" t="s">
        <v>93</v>
      </c>
      <c r="J184" s="2">
        <v>2</v>
      </c>
      <c r="K184" s="2" t="s">
        <v>1048</v>
      </c>
      <c r="L184" s="4" t="s">
        <v>1049</v>
      </c>
      <c r="M184" s="2"/>
      <c r="N184" s="2" t="s">
        <v>81</v>
      </c>
      <c r="O184" s="2"/>
      <c r="P184" s="2" t="s">
        <v>81</v>
      </c>
      <c r="Q184" s="2" t="s">
        <v>89</v>
      </c>
      <c r="R184" s="2" t="s">
        <v>81</v>
      </c>
      <c r="S184" s="2" t="s">
        <v>60</v>
      </c>
      <c r="T184" s="6">
        <v>0.19236111111111112</v>
      </c>
      <c r="U184" s="2" t="s">
        <v>61</v>
      </c>
      <c r="V184" s="2" t="s">
        <v>62</v>
      </c>
    </row>
    <row r="185" spans="1:22" ht="18" customHeight="1" x14ac:dyDescent="0.3">
      <c r="A185" s="2" t="s">
        <v>1050</v>
      </c>
      <c r="B185" s="2" t="s">
        <v>602</v>
      </c>
      <c r="C185" s="2" t="s">
        <v>603</v>
      </c>
      <c r="D185" s="2" t="s">
        <v>1320</v>
      </c>
      <c r="E185" s="2" t="s">
        <v>75</v>
      </c>
      <c r="F185" s="2" t="s">
        <v>55</v>
      </c>
      <c r="G185" s="3">
        <v>46190.429895833331</v>
      </c>
      <c r="H185" s="3">
        <v>46190.570300925923</v>
      </c>
      <c r="I185" s="2" t="s">
        <v>134</v>
      </c>
      <c r="J185" s="2">
        <v>3</v>
      </c>
      <c r="K185" s="2" t="s">
        <v>135</v>
      </c>
      <c r="L185" s="2"/>
      <c r="M185" s="2"/>
      <c r="N185" s="2" t="s">
        <v>102</v>
      </c>
      <c r="O185" s="2"/>
      <c r="P185" s="2" t="s">
        <v>86</v>
      </c>
      <c r="Q185" s="2" t="s">
        <v>87</v>
      </c>
      <c r="R185" s="2" t="s">
        <v>102</v>
      </c>
      <c r="S185" s="2" t="s">
        <v>60</v>
      </c>
      <c r="T185" s="6">
        <v>2.361111111111111E-2</v>
      </c>
      <c r="U185" s="2" t="s">
        <v>61</v>
      </c>
      <c r="V185" s="2" t="s">
        <v>62</v>
      </c>
    </row>
    <row r="186" spans="1:22" ht="18" customHeight="1" x14ac:dyDescent="0.3">
      <c r="A186" s="2" t="s">
        <v>1051</v>
      </c>
      <c r="B186" s="2" t="s">
        <v>68</v>
      </c>
      <c r="C186" s="2" t="s">
        <v>69</v>
      </c>
      <c r="D186" s="2" t="s">
        <v>1321</v>
      </c>
      <c r="E186" s="2" t="s">
        <v>54</v>
      </c>
      <c r="F186" s="2" t="s">
        <v>55</v>
      </c>
      <c r="G186" s="3">
        <v>46190.446944444448</v>
      </c>
      <c r="H186" s="3">
        <v>46202.740833333337</v>
      </c>
      <c r="I186" s="2" t="s">
        <v>100</v>
      </c>
      <c r="J186" s="2">
        <v>2</v>
      </c>
      <c r="K186" s="4" t="s">
        <v>1052</v>
      </c>
      <c r="L186" s="4" t="s">
        <v>1053</v>
      </c>
      <c r="M186" s="2"/>
      <c r="N186" s="2" t="s">
        <v>71</v>
      </c>
      <c r="O186" s="2"/>
      <c r="P186" s="2" t="s">
        <v>892</v>
      </c>
      <c r="Q186" s="2" t="s">
        <v>68</v>
      </c>
      <c r="R186" s="2" t="s">
        <v>71</v>
      </c>
      <c r="S186" s="2" t="s">
        <v>60</v>
      </c>
      <c r="T186" s="5">
        <v>3.7944444444444443</v>
      </c>
      <c r="U186" s="2" t="s">
        <v>61</v>
      </c>
      <c r="V186" s="2" t="s">
        <v>189</v>
      </c>
    </row>
    <row r="187" spans="1:22" ht="18" customHeight="1" x14ac:dyDescent="0.3">
      <c r="A187" s="2" t="s">
        <v>1054</v>
      </c>
      <c r="B187" s="2" t="s">
        <v>747</v>
      </c>
      <c r="C187" s="2" t="s">
        <v>748</v>
      </c>
      <c r="D187" s="2" t="s">
        <v>1149</v>
      </c>
      <c r="E187" s="2" t="s">
        <v>54</v>
      </c>
      <c r="F187" s="2" t="s">
        <v>67</v>
      </c>
      <c r="G187" s="3">
        <v>46190.473900462966</v>
      </c>
      <c r="H187" s="3">
        <v>46190.590462962966</v>
      </c>
      <c r="I187" s="2" t="s">
        <v>112</v>
      </c>
      <c r="J187" s="2">
        <v>3</v>
      </c>
      <c r="K187" s="2" t="s">
        <v>1055</v>
      </c>
      <c r="L187" s="4" t="s">
        <v>1056</v>
      </c>
      <c r="M187" s="2"/>
      <c r="N187" s="2" t="s">
        <v>78</v>
      </c>
      <c r="O187" s="2"/>
      <c r="P187" s="2" t="s">
        <v>79</v>
      </c>
      <c r="Q187" s="2" t="s">
        <v>80</v>
      </c>
      <c r="R187" s="2" t="s">
        <v>78</v>
      </c>
      <c r="S187" s="2" t="s">
        <v>60</v>
      </c>
      <c r="T187" s="6">
        <v>0.11666666666666667</v>
      </c>
      <c r="U187" s="2" t="s">
        <v>61</v>
      </c>
      <c r="V187" s="2" t="s">
        <v>62</v>
      </c>
    </row>
    <row r="188" spans="1:22" ht="18" customHeight="1" x14ac:dyDescent="0.3">
      <c r="A188" s="2" t="s">
        <v>1057</v>
      </c>
      <c r="B188" s="2" t="s">
        <v>1058</v>
      </c>
      <c r="C188" s="2" t="s">
        <v>1059</v>
      </c>
      <c r="D188" s="2" t="s">
        <v>1319</v>
      </c>
      <c r="E188" s="2" t="s">
        <v>66</v>
      </c>
      <c r="F188" s="2" t="s">
        <v>76</v>
      </c>
      <c r="G188" s="3">
        <v>46190.49622685185</v>
      </c>
      <c r="H188" s="3">
        <v>46196.615891203706</v>
      </c>
      <c r="I188" s="2" t="s">
        <v>88</v>
      </c>
      <c r="J188" s="2">
        <v>2</v>
      </c>
      <c r="K188" s="2" t="s">
        <v>1060</v>
      </c>
      <c r="L188" s="4" t="s">
        <v>1061</v>
      </c>
      <c r="M188" s="2"/>
      <c r="N188" s="2" t="s">
        <v>81</v>
      </c>
      <c r="O188" s="2"/>
      <c r="P188" s="2" t="s">
        <v>81</v>
      </c>
      <c r="Q188" s="2" t="s">
        <v>90</v>
      </c>
      <c r="R188" s="2" t="s">
        <v>81</v>
      </c>
      <c r="S188" s="2" t="s">
        <v>60</v>
      </c>
      <c r="T188" s="5">
        <v>1.8701388888888888</v>
      </c>
      <c r="U188" s="2" t="s">
        <v>61</v>
      </c>
      <c r="V188" s="2" t="s">
        <v>62</v>
      </c>
    </row>
    <row r="189" spans="1:22" ht="18" customHeight="1" x14ac:dyDescent="0.3">
      <c r="A189" s="2" t="s">
        <v>1062</v>
      </c>
      <c r="B189" s="2" t="s">
        <v>1063</v>
      </c>
      <c r="C189" s="2" t="s">
        <v>1064</v>
      </c>
      <c r="D189" s="2" t="s">
        <v>1319</v>
      </c>
      <c r="E189" s="2" t="s">
        <v>66</v>
      </c>
      <c r="F189" s="2" t="s">
        <v>76</v>
      </c>
      <c r="G189" s="3">
        <v>46190.567696759259</v>
      </c>
      <c r="H189" s="3">
        <v>46196.636018518519</v>
      </c>
      <c r="I189" s="2" t="s">
        <v>88</v>
      </c>
      <c r="J189" s="2">
        <v>2</v>
      </c>
      <c r="K189" s="2" t="s">
        <v>1065</v>
      </c>
      <c r="L189" s="4" t="s">
        <v>1066</v>
      </c>
      <c r="M189" s="2"/>
      <c r="N189" s="2" t="s">
        <v>81</v>
      </c>
      <c r="O189" s="2"/>
      <c r="P189" s="2" t="s">
        <v>81</v>
      </c>
      <c r="Q189" s="2" t="s">
        <v>90</v>
      </c>
      <c r="R189" s="2" t="s">
        <v>81</v>
      </c>
      <c r="S189" s="2" t="s">
        <v>60</v>
      </c>
      <c r="T189" s="5">
        <v>1.8187500000000001</v>
      </c>
      <c r="U189" s="2" t="s">
        <v>61</v>
      </c>
      <c r="V189" s="2" t="s">
        <v>62</v>
      </c>
    </row>
    <row r="190" spans="1:22" ht="18" customHeight="1" x14ac:dyDescent="0.3">
      <c r="A190" s="2" t="s">
        <v>1067</v>
      </c>
      <c r="B190" s="2" t="s">
        <v>1068</v>
      </c>
      <c r="C190" s="2" t="s">
        <v>1069</v>
      </c>
      <c r="D190" s="2" t="s">
        <v>1320</v>
      </c>
      <c r="E190" s="2" t="s">
        <v>75</v>
      </c>
      <c r="F190" s="2" t="s">
        <v>55</v>
      </c>
      <c r="G190" s="3">
        <v>46190.600324074076</v>
      </c>
      <c r="H190" s="3">
        <v>46199.534837962965</v>
      </c>
      <c r="I190" s="2" t="s">
        <v>97</v>
      </c>
      <c r="J190" s="2">
        <v>3</v>
      </c>
      <c r="K190" s="2" t="s">
        <v>1070</v>
      </c>
      <c r="L190" s="2"/>
      <c r="M190" s="2"/>
      <c r="N190" s="2" t="s">
        <v>105</v>
      </c>
      <c r="O190" s="2"/>
      <c r="P190" s="2" t="s">
        <v>98</v>
      </c>
      <c r="Q190" s="2" t="s">
        <v>664</v>
      </c>
      <c r="R190" s="2" t="s">
        <v>105</v>
      </c>
      <c r="S190" s="2" t="s">
        <v>60</v>
      </c>
      <c r="T190" s="5">
        <v>2.9972222222222222</v>
      </c>
      <c r="U190" s="2" t="s">
        <v>61</v>
      </c>
      <c r="V190" s="2" t="s">
        <v>62</v>
      </c>
    </row>
    <row r="191" spans="1:22" ht="18" customHeight="1" x14ac:dyDescent="0.3">
      <c r="A191" s="2" t="s">
        <v>1071</v>
      </c>
      <c r="B191" s="2" t="s">
        <v>1072</v>
      </c>
      <c r="C191" s="2" t="s">
        <v>1073</v>
      </c>
      <c r="D191" s="2" t="s">
        <v>1319</v>
      </c>
      <c r="E191" s="2" t="s">
        <v>66</v>
      </c>
      <c r="F191" s="2" t="s">
        <v>76</v>
      </c>
      <c r="G191" s="3">
        <v>46190.601307870369</v>
      </c>
      <c r="H191" s="3">
        <v>46199.387164351851</v>
      </c>
      <c r="I191" s="2" t="s">
        <v>88</v>
      </c>
      <c r="J191" s="2">
        <v>3</v>
      </c>
      <c r="K191" s="2" t="s">
        <v>1074</v>
      </c>
      <c r="L191" s="4" t="s">
        <v>1075</v>
      </c>
      <c r="M191" s="2"/>
      <c r="N191" s="2" t="s">
        <v>81</v>
      </c>
      <c r="O191" s="2"/>
      <c r="P191" s="2" t="s">
        <v>81</v>
      </c>
      <c r="Q191" s="2" t="s">
        <v>90</v>
      </c>
      <c r="R191" s="2" t="s">
        <v>81</v>
      </c>
      <c r="S191" s="2" t="s">
        <v>60</v>
      </c>
      <c r="T191" s="5">
        <v>2.848611111111111</v>
      </c>
      <c r="U191" s="2" t="s">
        <v>61</v>
      </c>
      <c r="V191" s="2" t="s">
        <v>62</v>
      </c>
    </row>
    <row r="192" spans="1:22" ht="18" customHeight="1" x14ac:dyDescent="0.3">
      <c r="A192" s="2" t="s">
        <v>1076</v>
      </c>
      <c r="B192" s="2" t="s">
        <v>277</v>
      </c>
      <c r="C192" s="2" t="s">
        <v>278</v>
      </c>
      <c r="D192" s="2" t="s">
        <v>1319</v>
      </c>
      <c r="E192" s="2" t="s">
        <v>66</v>
      </c>
      <c r="F192" s="2" t="s">
        <v>76</v>
      </c>
      <c r="G192" s="3">
        <v>46190.626284722224</v>
      </c>
      <c r="H192" s="3">
        <v>46197.500787037039</v>
      </c>
      <c r="I192" s="2" t="s">
        <v>109</v>
      </c>
      <c r="J192" s="2">
        <v>2</v>
      </c>
      <c r="K192" s="4" t="s">
        <v>1077</v>
      </c>
      <c r="L192" s="4" t="s">
        <v>1078</v>
      </c>
      <c r="M192" s="2"/>
      <c r="N192" s="2" t="s">
        <v>110</v>
      </c>
      <c r="O192" s="2"/>
      <c r="P192" s="2" t="s">
        <v>110</v>
      </c>
      <c r="Q192" s="2" t="s">
        <v>111</v>
      </c>
      <c r="R192" s="2" t="s">
        <v>110</v>
      </c>
      <c r="S192" s="2" t="s">
        <v>60</v>
      </c>
      <c r="T192" s="5">
        <v>2.0625</v>
      </c>
      <c r="U192" s="2" t="s">
        <v>61</v>
      </c>
      <c r="V192" s="2" t="s">
        <v>62</v>
      </c>
    </row>
    <row r="193" spans="1:22" ht="18" customHeight="1" x14ac:dyDescent="0.3">
      <c r="A193" s="2" t="s">
        <v>1079</v>
      </c>
      <c r="B193" s="2" t="s">
        <v>1080</v>
      </c>
      <c r="C193" s="2" t="s">
        <v>1081</v>
      </c>
      <c r="D193" s="2" t="s">
        <v>1319</v>
      </c>
      <c r="E193" s="2" t="s">
        <v>66</v>
      </c>
      <c r="F193" s="2" t="s">
        <v>67</v>
      </c>
      <c r="G193" s="3">
        <v>46190.629027777781</v>
      </c>
      <c r="H193" s="3">
        <v>46191.366678240738</v>
      </c>
      <c r="I193" s="2" t="s">
        <v>77</v>
      </c>
      <c r="J193" s="2">
        <v>3</v>
      </c>
      <c r="K193" s="2" t="s">
        <v>1082</v>
      </c>
      <c r="L193" s="4" t="s">
        <v>1083</v>
      </c>
      <c r="M193" s="2"/>
      <c r="N193" s="2" t="s">
        <v>78</v>
      </c>
      <c r="O193" s="2"/>
      <c r="P193" s="2" t="s">
        <v>79</v>
      </c>
      <c r="Q193" s="2" t="s">
        <v>80</v>
      </c>
      <c r="R193" s="2" t="s">
        <v>78</v>
      </c>
      <c r="S193" s="2" t="s">
        <v>60</v>
      </c>
      <c r="T193" s="6">
        <v>0.17569444444444443</v>
      </c>
      <c r="U193" s="2" t="s">
        <v>61</v>
      </c>
      <c r="V193" s="2" t="s">
        <v>62</v>
      </c>
    </row>
    <row r="194" spans="1:22" ht="18" customHeight="1" x14ac:dyDescent="0.3">
      <c r="A194" s="2" t="s">
        <v>1084</v>
      </c>
      <c r="B194" s="2" t="s">
        <v>1085</v>
      </c>
      <c r="C194" s="2" t="s">
        <v>1086</v>
      </c>
      <c r="D194" s="2" t="s">
        <v>1320</v>
      </c>
      <c r="E194" s="2" t="s">
        <v>75</v>
      </c>
      <c r="F194" s="2" t="s">
        <v>55</v>
      </c>
      <c r="G194" s="3">
        <v>46191.431550925925</v>
      </c>
      <c r="H194" s="3">
        <v>46206.604710648149</v>
      </c>
      <c r="I194" s="2" t="s">
        <v>97</v>
      </c>
      <c r="J194" s="2">
        <v>2</v>
      </c>
      <c r="K194" s="2" t="s">
        <v>1087</v>
      </c>
      <c r="L194" s="4" t="s">
        <v>1088</v>
      </c>
      <c r="M194" s="2"/>
      <c r="N194" s="2" t="s">
        <v>105</v>
      </c>
      <c r="O194" s="2"/>
      <c r="P194" s="2" t="s">
        <v>98</v>
      </c>
      <c r="Q194" s="2" t="s">
        <v>106</v>
      </c>
      <c r="R194" s="2" t="s">
        <v>105</v>
      </c>
      <c r="S194" s="2" t="s">
        <v>60</v>
      </c>
      <c r="T194" s="5">
        <v>3.5173611111111112</v>
      </c>
      <c r="U194" s="2" t="s">
        <v>108</v>
      </c>
      <c r="V194" s="2" t="s">
        <v>62</v>
      </c>
    </row>
    <row r="195" spans="1:22" ht="18" customHeight="1" x14ac:dyDescent="0.3">
      <c r="A195" s="2" t="s">
        <v>1089</v>
      </c>
      <c r="B195" s="2" t="s">
        <v>245</v>
      </c>
      <c r="C195" s="2" t="s">
        <v>246</v>
      </c>
      <c r="D195" s="2" t="s">
        <v>1319</v>
      </c>
      <c r="E195" s="2" t="s">
        <v>66</v>
      </c>
      <c r="F195" s="2" t="s">
        <v>67</v>
      </c>
      <c r="G195" s="3">
        <v>46191.471226851849</v>
      </c>
      <c r="H195" s="3">
        <v>46191.484375</v>
      </c>
      <c r="I195" s="2" t="s">
        <v>112</v>
      </c>
      <c r="J195" s="2">
        <v>3</v>
      </c>
      <c r="K195" s="2" t="s">
        <v>1090</v>
      </c>
      <c r="L195" s="4" t="s">
        <v>986</v>
      </c>
      <c r="M195" s="2"/>
      <c r="N195" s="2" t="s">
        <v>78</v>
      </c>
      <c r="O195" s="2"/>
      <c r="P195" s="2" t="s">
        <v>79</v>
      </c>
      <c r="Q195" s="2" t="s">
        <v>80</v>
      </c>
      <c r="R195" s="2" t="s">
        <v>78</v>
      </c>
      <c r="S195" s="2" t="s">
        <v>60</v>
      </c>
      <c r="T195" s="6">
        <v>1.3194444444444444E-2</v>
      </c>
      <c r="U195" s="2" t="s">
        <v>61</v>
      </c>
      <c r="V195" s="2" t="s">
        <v>62</v>
      </c>
    </row>
    <row r="196" spans="1:22" ht="18" customHeight="1" x14ac:dyDescent="0.3">
      <c r="A196" s="2" t="s">
        <v>1091</v>
      </c>
      <c r="B196" s="2" t="s">
        <v>1022</v>
      </c>
      <c r="C196" s="2" t="s">
        <v>1023</v>
      </c>
      <c r="D196" s="2" t="s">
        <v>1319</v>
      </c>
      <c r="E196" s="2" t="s">
        <v>66</v>
      </c>
      <c r="F196" s="2" t="s">
        <v>76</v>
      </c>
      <c r="G196" s="3">
        <v>46191.488622685189</v>
      </c>
      <c r="H196" s="3">
        <v>46196.423171296294</v>
      </c>
      <c r="I196" s="2" t="s">
        <v>97</v>
      </c>
      <c r="J196" s="2">
        <v>2</v>
      </c>
      <c r="K196" s="2" t="s">
        <v>1092</v>
      </c>
      <c r="L196" s="2"/>
      <c r="M196" s="2"/>
      <c r="N196" s="2" t="s">
        <v>98</v>
      </c>
      <c r="O196" s="2"/>
      <c r="P196" s="2" t="s">
        <v>98</v>
      </c>
      <c r="Q196" s="2" t="s">
        <v>287</v>
      </c>
      <c r="R196" s="2" t="s">
        <v>98</v>
      </c>
      <c r="S196" s="2" t="s">
        <v>60</v>
      </c>
      <c r="T196" s="5">
        <v>1.2472222222222222</v>
      </c>
      <c r="U196" s="2" t="s">
        <v>61</v>
      </c>
      <c r="V196" s="2" t="s">
        <v>62</v>
      </c>
    </row>
    <row r="197" spans="1:22" ht="18" customHeight="1" x14ac:dyDescent="0.3">
      <c r="A197" s="2" t="s">
        <v>1093</v>
      </c>
      <c r="B197" s="2" t="s">
        <v>89</v>
      </c>
      <c r="C197" s="2" t="s">
        <v>1094</v>
      </c>
      <c r="D197" s="2" t="s">
        <v>1321</v>
      </c>
      <c r="E197" s="2" t="s">
        <v>54</v>
      </c>
      <c r="F197" s="2" t="s">
        <v>76</v>
      </c>
      <c r="G197" s="3">
        <v>46191.617407407408</v>
      </c>
      <c r="H197" s="3">
        <v>46195.708807870367</v>
      </c>
      <c r="I197" s="2" t="s">
        <v>63</v>
      </c>
      <c r="J197" s="2">
        <v>3</v>
      </c>
      <c r="K197" s="2" t="s">
        <v>656</v>
      </c>
      <c r="L197" s="4" t="s">
        <v>64</v>
      </c>
      <c r="M197" s="2"/>
      <c r="N197" s="2" t="s">
        <v>58</v>
      </c>
      <c r="O197" s="2"/>
      <c r="P197" s="2" t="s">
        <v>58</v>
      </c>
      <c r="Q197" s="2" t="s">
        <v>65</v>
      </c>
      <c r="R197" s="2" t="s">
        <v>58</v>
      </c>
      <c r="S197" s="2" t="s">
        <v>60</v>
      </c>
      <c r="T197" s="5">
        <v>1.0083333333333333</v>
      </c>
      <c r="U197" s="2" t="s">
        <v>61</v>
      </c>
      <c r="V197" s="2" t="s">
        <v>62</v>
      </c>
    </row>
    <row r="198" spans="1:22" ht="18" customHeight="1" x14ac:dyDescent="0.3">
      <c r="A198" s="2" t="s">
        <v>1095</v>
      </c>
      <c r="B198" s="2" t="s">
        <v>685</v>
      </c>
      <c r="C198" s="2" t="s">
        <v>686</v>
      </c>
      <c r="D198" s="2" t="s">
        <v>1319</v>
      </c>
      <c r="E198" s="2" t="s">
        <v>66</v>
      </c>
      <c r="F198" s="2" t="s">
        <v>67</v>
      </c>
      <c r="G198" s="3">
        <v>46192.393622685187</v>
      </c>
      <c r="H198" s="3">
        <v>46192.613969907405</v>
      </c>
      <c r="I198" s="2" t="s">
        <v>88</v>
      </c>
      <c r="J198" s="2">
        <v>2</v>
      </c>
      <c r="K198" s="2" t="s">
        <v>1096</v>
      </c>
      <c r="L198" s="4" t="s">
        <v>1097</v>
      </c>
      <c r="M198" s="2"/>
      <c r="N198" s="2" t="s">
        <v>78</v>
      </c>
      <c r="O198" s="2"/>
      <c r="P198" s="2" t="s">
        <v>79</v>
      </c>
      <c r="Q198" s="2" t="s">
        <v>80</v>
      </c>
      <c r="R198" s="2" t="s">
        <v>78</v>
      </c>
      <c r="S198" s="2" t="s">
        <v>60</v>
      </c>
      <c r="T198" s="6">
        <v>0.22083333333333333</v>
      </c>
      <c r="U198" s="2" t="s">
        <v>61</v>
      </c>
      <c r="V198" s="2" t="s">
        <v>62</v>
      </c>
    </row>
    <row r="199" spans="1:22" ht="18" customHeight="1" x14ac:dyDescent="0.3">
      <c r="A199" s="2" t="s">
        <v>1098</v>
      </c>
      <c r="B199" s="2" t="s">
        <v>1099</v>
      </c>
      <c r="C199" s="2" t="s">
        <v>1100</v>
      </c>
      <c r="D199" s="2" t="s">
        <v>1321</v>
      </c>
      <c r="E199" s="2" t="s">
        <v>54</v>
      </c>
      <c r="F199" s="2" t="s">
        <v>55</v>
      </c>
      <c r="G199" s="3">
        <v>46192.40520833333</v>
      </c>
      <c r="H199" s="3">
        <v>46202.453564814816</v>
      </c>
      <c r="I199" s="2" t="s">
        <v>77</v>
      </c>
      <c r="J199" s="2">
        <v>2</v>
      </c>
      <c r="K199" s="2" t="s">
        <v>1101</v>
      </c>
      <c r="L199" s="4" t="s">
        <v>235</v>
      </c>
      <c r="M199" s="2"/>
      <c r="N199" s="2" t="s">
        <v>78</v>
      </c>
      <c r="O199" s="2"/>
      <c r="P199" s="2" t="s">
        <v>78</v>
      </c>
      <c r="Q199" s="2" t="s">
        <v>103</v>
      </c>
      <c r="R199" s="2" t="s">
        <v>78</v>
      </c>
      <c r="S199" s="2" t="s">
        <v>60</v>
      </c>
      <c r="T199" s="5">
        <v>2.6736111111111112</v>
      </c>
      <c r="U199" s="2" t="s">
        <v>61</v>
      </c>
      <c r="V199" s="2" t="s">
        <v>62</v>
      </c>
    </row>
    <row r="200" spans="1:22" ht="18" customHeight="1" x14ac:dyDescent="0.3">
      <c r="A200" s="2" t="s">
        <v>1102</v>
      </c>
      <c r="B200" s="2" t="s">
        <v>1103</v>
      </c>
      <c r="C200" s="2" t="s">
        <v>1104</v>
      </c>
      <c r="D200" s="2" t="s">
        <v>1149</v>
      </c>
      <c r="E200" s="2" t="s">
        <v>54</v>
      </c>
      <c r="F200" s="2" t="s">
        <v>76</v>
      </c>
      <c r="G200" s="3">
        <v>46192.522800925923</v>
      </c>
      <c r="H200" s="3">
        <v>46196.421956018516</v>
      </c>
      <c r="I200" s="2" t="s">
        <v>77</v>
      </c>
      <c r="J200" s="2">
        <v>2</v>
      </c>
      <c r="K200" s="2" t="s">
        <v>1105</v>
      </c>
      <c r="L200" s="4" t="s">
        <v>1106</v>
      </c>
      <c r="M200" s="2"/>
      <c r="N200" s="2" t="s">
        <v>81</v>
      </c>
      <c r="O200" s="2"/>
      <c r="P200" s="2" t="s">
        <v>81</v>
      </c>
      <c r="Q200" s="2" t="s">
        <v>90</v>
      </c>
      <c r="R200" s="2" t="s">
        <v>81</v>
      </c>
      <c r="S200" s="2" t="s">
        <v>60</v>
      </c>
      <c r="T200" s="6">
        <v>0.77430555555555558</v>
      </c>
      <c r="U200" s="2" t="s">
        <v>61</v>
      </c>
      <c r="V200" s="2" t="s">
        <v>62</v>
      </c>
    </row>
    <row r="201" spans="1:22" ht="18" customHeight="1" x14ac:dyDescent="0.3">
      <c r="A201" s="2" t="s">
        <v>1107</v>
      </c>
      <c r="B201" s="2" t="s">
        <v>80</v>
      </c>
      <c r="C201" s="2" t="s">
        <v>655</v>
      </c>
      <c r="D201" s="2" t="s">
        <v>1321</v>
      </c>
      <c r="E201" s="2" t="s">
        <v>54</v>
      </c>
      <c r="F201" s="2" t="s">
        <v>67</v>
      </c>
      <c r="G201" s="3">
        <v>46192.554502314815</v>
      </c>
      <c r="H201" s="3">
        <v>46195.707731481481</v>
      </c>
      <c r="I201" s="2" t="s">
        <v>63</v>
      </c>
      <c r="J201" s="2">
        <v>3</v>
      </c>
      <c r="K201" s="2" t="s">
        <v>656</v>
      </c>
      <c r="L201" s="4" t="s">
        <v>64</v>
      </c>
      <c r="M201" s="2"/>
      <c r="N201" s="2" t="s">
        <v>58</v>
      </c>
      <c r="O201" s="2"/>
      <c r="P201" s="2" t="s">
        <v>58</v>
      </c>
      <c r="Q201" s="2" t="s">
        <v>65</v>
      </c>
      <c r="R201" s="2" t="s">
        <v>58</v>
      </c>
      <c r="S201" s="2" t="s">
        <v>60</v>
      </c>
      <c r="T201" s="6">
        <v>0.6118055555555556</v>
      </c>
      <c r="U201" s="2" t="s">
        <v>61</v>
      </c>
      <c r="V201" s="2" t="s">
        <v>62</v>
      </c>
    </row>
    <row r="202" spans="1:22" ht="18" customHeight="1" x14ac:dyDescent="0.3">
      <c r="A202" s="2" t="s">
        <v>1108</v>
      </c>
      <c r="B202" s="2" t="s">
        <v>685</v>
      </c>
      <c r="C202" s="2" t="s">
        <v>686</v>
      </c>
      <c r="D202" s="2" t="s">
        <v>1319</v>
      </c>
      <c r="E202" s="2" t="s">
        <v>66</v>
      </c>
      <c r="F202" s="2" t="s">
        <v>67</v>
      </c>
      <c r="G202" s="3">
        <v>46192.612175925926</v>
      </c>
      <c r="H202" s="2"/>
      <c r="I202" s="2" t="s">
        <v>84</v>
      </c>
      <c r="J202" s="2">
        <v>2</v>
      </c>
      <c r="K202" s="2" t="s">
        <v>85</v>
      </c>
      <c r="L202" s="4" t="s">
        <v>1109</v>
      </c>
      <c r="M202" s="2"/>
      <c r="N202" s="2" t="s">
        <v>58</v>
      </c>
      <c r="O202" s="2" t="s">
        <v>58</v>
      </c>
      <c r="P202" s="2"/>
      <c r="Q202" s="2"/>
      <c r="R202" s="2" t="s">
        <v>58</v>
      </c>
      <c r="S202" s="2" t="s">
        <v>82</v>
      </c>
      <c r="T202" s="6">
        <v>0</v>
      </c>
      <c r="U202" s="2" t="s">
        <v>1110</v>
      </c>
      <c r="V202" s="2" t="s">
        <v>62</v>
      </c>
    </row>
    <row r="203" spans="1:22" ht="18" customHeight="1" x14ac:dyDescent="0.3">
      <c r="A203" s="2" t="s">
        <v>1113</v>
      </c>
      <c r="B203" s="2" t="s">
        <v>685</v>
      </c>
      <c r="C203" s="2" t="s">
        <v>686</v>
      </c>
      <c r="D203" s="2" t="s">
        <v>1319</v>
      </c>
      <c r="E203" s="2" t="s">
        <v>66</v>
      </c>
      <c r="F203" s="2" t="s">
        <v>67</v>
      </c>
      <c r="G203" s="3">
        <v>46192.629050925927</v>
      </c>
      <c r="H203" s="3">
        <v>46192.704085648147</v>
      </c>
      <c r="I203" s="2" t="s">
        <v>77</v>
      </c>
      <c r="J203" s="2">
        <v>3</v>
      </c>
      <c r="K203" s="2" t="s">
        <v>1114</v>
      </c>
      <c r="L203" s="4" t="s">
        <v>986</v>
      </c>
      <c r="M203" s="2"/>
      <c r="N203" s="2" t="s">
        <v>78</v>
      </c>
      <c r="O203" s="2"/>
      <c r="P203" s="2" t="s">
        <v>79</v>
      </c>
      <c r="Q203" s="2" t="s">
        <v>80</v>
      </c>
      <c r="R203" s="2" t="s">
        <v>78</v>
      </c>
      <c r="S203" s="2" t="s">
        <v>60</v>
      </c>
      <c r="T203" s="6">
        <v>7.5694444444444439E-2</v>
      </c>
      <c r="U203" s="2" t="s">
        <v>61</v>
      </c>
      <c r="V203" s="2" t="s">
        <v>62</v>
      </c>
    </row>
    <row r="204" spans="1:22" ht="18" customHeight="1" x14ac:dyDescent="0.3">
      <c r="A204" s="2" t="s">
        <v>1115</v>
      </c>
      <c r="B204" s="2" t="s">
        <v>685</v>
      </c>
      <c r="C204" s="2" t="s">
        <v>686</v>
      </c>
      <c r="D204" s="2" t="s">
        <v>1319</v>
      </c>
      <c r="E204" s="2" t="s">
        <v>66</v>
      </c>
      <c r="F204" s="2" t="s">
        <v>67</v>
      </c>
      <c r="G204" s="3">
        <v>46192.635011574072</v>
      </c>
      <c r="H204" s="3">
        <v>46205.425381944442</v>
      </c>
      <c r="I204" s="2" t="s">
        <v>97</v>
      </c>
      <c r="J204" s="2">
        <v>2</v>
      </c>
      <c r="K204" s="2" t="s">
        <v>1116</v>
      </c>
      <c r="L204" s="2"/>
      <c r="M204" s="2"/>
      <c r="N204" s="2" t="s">
        <v>105</v>
      </c>
      <c r="O204" s="2"/>
      <c r="P204" s="2" t="s">
        <v>98</v>
      </c>
      <c r="Q204" s="2" t="s">
        <v>106</v>
      </c>
      <c r="R204" s="2" t="s">
        <v>105</v>
      </c>
      <c r="S204" s="2" t="s">
        <v>60</v>
      </c>
      <c r="T204" s="5">
        <v>3.7284722222222224</v>
      </c>
      <c r="U204" s="2" t="s">
        <v>61</v>
      </c>
      <c r="V204" s="2" t="s">
        <v>62</v>
      </c>
    </row>
    <row r="205" spans="1:22" ht="18" customHeight="1" x14ac:dyDescent="0.3">
      <c r="A205" s="2" t="s">
        <v>1117</v>
      </c>
      <c r="B205" s="2" t="s">
        <v>1118</v>
      </c>
      <c r="C205" s="2" t="s">
        <v>1119</v>
      </c>
      <c r="D205" s="2" t="s">
        <v>1142</v>
      </c>
      <c r="E205" s="2" t="s">
        <v>72</v>
      </c>
      <c r="F205" s="2" t="s">
        <v>55</v>
      </c>
      <c r="G205" s="3">
        <v>46192.635254629633</v>
      </c>
      <c r="H205" s="3">
        <v>46202.669942129629</v>
      </c>
      <c r="I205" s="2" t="s">
        <v>93</v>
      </c>
      <c r="J205" s="2">
        <v>3</v>
      </c>
      <c r="K205" s="2" t="s">
        <v>1120</v>
      </c>
      <c r="L205" s="4" t="s">
        <v>1121</v>
      </c>
      <c r="M205" s="2"/>
      <c r="N205" s="2" t="s">
        <v>78</v>
      </c>
      <c r="O205" s="2"/>
      <c r="P205" s="2" t="s">
        <v>78</v>
      </c>
      <c r="Q205" s="2" t="s">
        <v>103</v>
      </c>
      <c r="R205" s="2" t="s">
        <v>78</v>
      </c>
      <c r="S205" s="2" t="s">
        <v>60</v>
      </c>
      <c r="T205" s="5">
        <v>2.6597222222222223</v>
      </c>
      <c r="U205" s="2" t="s">
        <v>61</v>
      </c>
      <c r="V205" s="2" t="s">
        <v>62</v>
      </c>
    </row>
    <row r="206" spans="1:22" ht="18" customHeight="1" x14ac:dyDescent="0.3">
      <c r="A206" s="2" t="s">
        <v>1122</v>
      </c>
      <c r="B206" s="2" t="s">
        <v>227</v>
      </c>
      <c r="C206" s="2" t="s">
        <v>228</v>
      </c>
      <c r="D206" s="2" t="s">
        <v>1320</v>
      </c>
      <c r="E206" s="2" t="s">
        <v>75</v>
      </c>
      <c r="F206" s="2" t="s">
        <v>55</v>
      </c>
      <c r="G206" s="3">
        <v>46192.625520833331</v>
      </c>
      <c r="H206" s="3">
        <v>46195.365555555552</v>
      </c>
      <c r="I206" s="2" t="s">
        <v>1123</v>
      </c>
      <c r="J206" s="2">
        <v>1</v>
      </c>
      <c r="K206" s="2" t="s">
        <v>1124</v>
      </c>
      <c r="L206" s="4" t="s">
        <v>1125</v>
      </c>
      <c r="M206" s="2"/>
      <c r="N206" s="2" t="s">
        <v>58</v>
      </c>
      <c r="O206" s="2" t="s">
        <v>1126</v>
      </c>
      <c r="P206" s="2" t="s">
        <v>1126</v>
      </c>
      <c r="Q206" s="2" t="s">
        <v>1127</v>
      </c>
      <c r="R206" s="2" t="s">
        <v>58</v>
      </c>
      <c r="S206" s="2" t="s">
        <v>60</v>
      </c>
      <c r="T206" s="6">
        <v>0.17777777777777778</v>
      </c>
      <c r="U206" s="2" t="s">
        <v>170</v>
      </c>
      <c r="V206" s="2" t="s">
        <v>224</v>
      </c>
    </row>
    <row r="207" spans="1:22" ht="18" customHeight="1" x14ac:dyDescent="0.3">
      <c r="A207" s="2" t="s">
        <v>1128</v>
      </c>
      <c r="B207" s="2" t="s">
        <v>1129</v>
      </c>
      <c r="C207" s="2" t="s">
        <v>1130</v>
      </c>
      <c r="D207" s="2" t="s">
        <v>1321</v>
      </c>
      <c r="E207" s="2" t="s">
        <v>54</v>
      </c>
      <c r="F207" s="2" t="s">
        <v>55</v>
      </c>
      <c r="G207" s="3">
        <v>46192.674629629626</v>
      </c>
      <c r="H207" s="3">
        <v>46202.70789351852</v>
      </c>
      <c r="I207" s="2" t="s">
        <v>56</v>
      </c>
      <c r="J207" s="2">
        <v>3</v>
      </c>
      <c r="K207" s="2" t="s">
        <v>57</v>
      </c>
      <c r="L207" s="4" t="s">
        <v>740</v>
      </c>
      <c r="M207" s="2"/>
      <c r="N207" s="2" t="s">
        <v>58</v>
      </c>
      <c r="O207" s="2"/>
      <c r="P207" s="2" t="s">
        <v>58</v>
      </c>
      <c r="Q207" s="2" t="s">
        <v>59</v>
      </c>
      <c r="R207" s="2" t="s">
        <v>58</v>
      </c>
      <c r="S207" s="2" t="s">
        <v>60</v>
      </c>
      <c r="T207" s="5">
        <v>2.6583333333333332</v>
      </c>
      <c r="U207" s="2" t="s">
        <v>108</v>
      </c>
      <c r="V207" s="2" t="s">
        <v>62</v>
      </c>
    </row>
    <row r="208" spans="1:22" ht="18" customHeight="1" x14ac:dyDescent="0.3">
      <c r="A208" s="2" t="s">
        <v>1131</v>
      </c>
      <c r="B208" s="2" t="s">
        <v>1129</v>
      </c>
      <c r="C208" s="2" t="s">
        <v>1130</v>
      </c>
      <c r="D208" s="2" t="s">
        <v>1321</v>
      </c>
      <c r="E208" s="2" t="s">
        <v>54</v>
      </c>
      <c r="F208" s="2" t="s">
        <v>55</v>
      </c>
      <c r="G208" s="3">
        <v>46192.675000000003</v>
      </c>
      <c r="H208" s="3">
        <v>46202.688668981478</v>
      </c>
      <c r="I208" s="2" t="s">
        <v>63</v>
      </c>
      <c r="J208" s="2">
        <v>3</v>
      </c>
      <c r="K208" s="2" t="s">
        <v>779</v>
      </c>
      <c r="L208" s="4" t="s">
        <v>183</v>
      </c>
      <c r="M208" s="2"/>
      <c r="N208" s="2" t="s">
        <v>58</v>
      </c>
      <c r="O208" s="2"/>
      <c r="P208" s="2" t="s">
        <v>58</v>
      </c>
      <c r="Q208" s="2" t="s">
        <v>59</v>
      </c>
      <c r="R208" s="2" t="s">
        <v>58</v>
      </c>
      <c r="S208" s="2" t="s">
        <v>60</v>
      </c>
      <c r="T208" s="5">
        <v>2.7638888888888888</v>
      </c>
      <c r="U208" s="2" t="s">
        <v>108</v>
      </c>
      <c r="V208" s="2" t="s">
        <v>62</v>
      </c>
    </row>
    <row r="209" spans="1:22" ht="18" customHeight="1" x14ac:dyDescent="0.3">
      <c r="A209" s="2" t="s">
        <v>1132</v>
      </c>
      <c r="B209" s="2" t="s">
        <v>302</v>
      </c>
      <c r="C209" s="2" t="s">
        <v>303</v>
      </c>
      <c r="D209" s="2" t="s">
        <v>1149</v>
      </c>
      <c r="E209" s="2" t="s">
        <v>54</v>
      </c>
      <c r="F209" s="2" t="s">
        <v>55</v>
      </c>
      <c r="G209" s="3">
        <v>46192.692569444444</v>
      </c>
      <c r="H209" s="3">
        <v>46192.69803240741</v>
      </c>
      <c r="I209" s="2" t="s">
        <v>939</v>
      </c>
      <c r="J209" s="2">
        <v>3</v>
      </c>
      <c r="K209" s="4" t="s">
        <v>1133</v>
      </c>
      <c r="L209" s="4" t="s">
        <v>1134</v>
      </c>
      <c r="M209" s="2"/>
      <c r="N209" s="2" t="s">
        <v>137</v>
      </c>
      <c r="O209" s="2"/>
      <c r="P209" s="2" t="s">
        <v>91</v>
      </c>
      <c r="Q209" s="2" t="s">
        <v>138</v>
      </c>
      <c r="R209" s="2" t="s">
        <v>137</v>
      </c>
      <c r="S209" s="2" t="s">
        <v>60</v>
      </c>
      <c r="T209" s="6">
        <v>5.5555555555555558E-3</v>
      </c>
      <c r="U209" s="2" t="s">
        <v>61</v>
      </c>
      <c r="V209" s="2" t="s">
        <v>62</v>
      </c>
    </row>
    <row r="210" spans="1:22" ht="18" customHeight="1" x14ac:dyDescent="0.3">
      <c r="A210" s="2" t="s">
        <v>1135</v>
      </c>
      <c r="B210" s="2" t="s">
        <v>142</v>
      </c>
      <c r="C210" s="2" t="s">
        <v>143</v>
      </c>
      <c r="D210" s="2" t="s">
        <v>1319</v>
      </c>
      <c r="E210" s="2" t="s">
        <v>66</v>
      </c>
      <c r="F210" s="2" t="s">
        <v>76</v>
      </c>
      <c r="G210" s="3">
        <v>46192.726724537039</v>
      </c>
      <c r="H210" s="3">
        <v>46195.51703703704</v>
      </c>
      <c r="I210" s="2" t="s">
        <v>226</v>
      </c>
      <c r="J210" s="2">
        <v>2</v>
      </c>
      <c r="K210" s="2" t="s">
        <v>1136</v>
      </c>
      <c r="L210" s="4" t="s">
        <v>1137</v>
      </c>
      <c r="M210" s="2"/>
      <c r="N210" s="2" t="s">
        <v>58</v>
      </c>
      <c r="O210" s="2"/>
      <c r="P210" s="2" t="s">
        <v>58</v>
      </c>
      <c r="Q210" s="2" t="s">
        <v>74</v>
      </c>
      <c r="R210" s="2" t="s">
        <v>58</v>
      </c>
      <c r="S210" s="2" t="s">
        <v>60</v>
      </c>
      <c r="T210" s="5">
        <v>2.7909722222222224</v>
      </c>
      <c r="U210" s="2" t="s">
        <v>61</v>
      </c>
      <c r="V210" s="2" t="s">
        <v>62</v>
      </c>
    </row>
    <row r="211" spans="1:22" ht="18" customHeight="1" x14ac:dyDescent="0.3">
      <c r="A211" s="2" t="s">
        <v>1138</v>
      </c>
      <c r="B211" s="2" t="s">
        <v>190</v>
      </c>
      <c r="C211" s="2" t="s">
        <v>191</v>
      </c>
      <c r="D211" s="2" t="s">
        <v>1149</v>
      </c>
      <c r="E211" s="2" t="s">
        <v>54</v>
      </c>
      <c r="F211" s="2" t="s">
        <v>55</v>
      </c>
      <c r="G211" s="3">
        <v>46192.726782407408</v>
      </c>
      <c r="H211" s="3">
        <v>46202.364201388889</v>
      </c>
      <c r="I211" s="2" t="s">
        <v>150</v>
      </c>
      <c r="J211" s="2">
        <v>3</v>
      </c>
      <c r="K211" s="2" t="s">
        <v>1139</v>
      </c>
      <c r="L211" s="4" t="s">
        <v>1140</v>
      </c>
      <c r="M211" s="2"/>
      <c r="N211" s="2" t="s">
        <v>137</v>
      </c>
      <c r="O211" s="2"/>
      <c r="P211" s="2" t="s">
        <v>71</v>
      </c>
      <c r="Q211" s="2" t="s">
        <v>306</v>
      </c>
      <c r="R211" s="2" t="s">
        <v>137</v>
      </c>
      <c r="S211" s="2" t="s">
        <v>60</v>
      </c>
      <c r="T211" s="5">
        <v>2.2625000000000002</v>
      </c>
      <c r="U211" s="2" t="s">
        <v>108</v>
      </c>
      <c r="V211" s="2" t="s">
        <v>62</v>
      </c>
    </row>
    <row r="212" spans="1:22" ht="18" customHeight="1" x14ac:dyDescent="0.3">
      <c r="A212" s="2" t="s">
        <v>1141</v>
      </c>
      <c r="B212" s="2" t="s">
        <v>1142</v>
      </c>
      <c r="C212" s="2" t="s">
        <v>1143</v>
      </c>
      <c r="D212" s="2" t="s">
        <v>1149</v>
      </c>
      <c r="E212" s="2" t="s">
        <v>54</v>
      </c>
      <c r="F212" s="2" t="s">
        <v>55</v>
      </c>
      <c r="G212" s="3">
        <v>46192.735023148147</v>
      </c>
      <c r="H212" s="3">
        <v>46196.272905092592</v>
      </c>
      <c r="I212" s="2" t="s">
        <v>128</v>
      </c>
      <c r="J212" s="2">
        <v>3</v>
      </c>
      <c r="K212" s="2" t="s">
        <v>129</v>
      </c>
      <c r="L212" s="4" t="s">
        <v>1144</v>
      </c>
      <c r="M212" s="2"/>
      <c r="N212" s="2" t="s">
        <v>71</v>
      </c>
      <c r="O212" s="2"/>
      <c r="P212" s="2" t="s">
        <v>71</v>
      </c>
      <c r="Q212" s="2" t="s">
        <v>130</v>
      </c>
      <c r="R212" s="2" t="s">
        <v>71</v>
      </c>
      <c r="S212" s="2" t="s">
        <v>60</v>
      </c>
      <c r="T212" s="6">
        <v>0.47361111111111109</v>
      </c>
      <c r="U212" s="2" t="s">
        <v>61</v>
      </c>
      <c r="V212" s="2" t="s">
        <v>62</v>
      </c>
    </row>
    <row r="213" spans="1:22" ht="18" customHeight="1" x14ac:dyDescent="0.3">
      <c r="A213" s="2" t="s">
        <v>1145</v>
      </c>
      <c r="B213" s="2" t="s">
        <v>151</v>
      </c>
      <c r="C213" s="2" t="s">
        <v>157</v>
      </c>
      <c r="D213" s="2" t="s">
        <v>1321</v>
      </c>
      <c r="E213" s="2" t="s">
        <v>54</v>
      </c>
      <c r="F213" s="2" t="s">
        <v>55</v>
      </c>
      <c r="G213" s="3">
        <v>46195.425821759258</v>
      </c>
      <c r="H213" s="3">
        <v>46202.675798611112</v>
      </c>
      <c r="I213" s="2" t="s">
        <v>213</v>
      </c>
      <c r="J213" s="2">
        <v>3</v>
      </c>
      <c r="K213" s="2" t="s">
        <v>1146</v>
      </c>
      <c r="L213" s="4" t="s">
        <v>1147</v>
      </c>
      <c r="M213" s="2"/>
      <c r="N213" s="2" t="s">
        <v>71</v>
      </c>
      <c r="O213" s="2"/>
      <c r="P213" s="2" t="s">
        <v>71</v>
      </c>
      <c r="Q213" s="2" t="s">
        <v>306</v>
      </c>
      <c r="R213" s="2" t="s">
        <v>71</v>
      </c>
      <c r="S213" s="2" t="s">
        <v>60</v>
      </c>
      <c r="T213" s="5">
        <v>2.4375</v>
      </c>
      <c r="U213" s="2" t="s">
        <v>61</v>
      </c>
      <c r="V213" s="2" t="s">
        <v>62</v>
      </c>
    </row>
    <row r="214" spans="1:22" ht="18" customHeight="1" x14ac:dyDescent="0.3">
      <c r="A214" s="2" t="s">
        <v>1148</v>
      </c>
      <c r="B214" s="2" t="s">
        <v>1149</v>
      </c>
      <c r="C214" s="2" t="s">
        <v>1150</v>
      </c>
      <c r="D214" s="2" t="s">
        <v>1322</v>
      </c>
      <c r="E214" s="2" t="s">
        <v>54</v>
      </c>
      <c r="F214" s="2" t="s">
        <v>55</v>
      </c>
      <c r="G214" s="3">
        <v>46195.448680555557</v>
      </c>
      <c r="H214" s="3">
        <v>46203.670300925929</v>
      </c>
      <c r="I214" s="2" t="s">
        <v>97</v>
      </c>
      <c r="J214" s="2">
        <v>2</v>
      </c>
      <c r="K214" s="2" t="s">
        <v>1151</v>
      </c>
      <c r="L214" s="2"/>
      <c r="M214" s="2" t="s">
        <v>1152</v>
      </c>
      <c r="N214" s="2" t="s">
        <v>105</v>
      </c>
      <c r="O214" s="2"/>
      <c r="P214" s="2" t="s">
        <v>98</v>
      </c>
      <c r="Q214" s="2" t="s">
        <v>106</v>
      </c>
      <c r="R214" s="2" t="s">
        <v>105</v>
      </c>
      <c r="S214" s="2" t="s">
        <v>60</v>
      </c>
      <c r="T214" s="5">
        <v>1.4680555555555554</v>
      </c>
      <c r="U214" s="2" t="s">
        <v>108</v>
      </c>
      <c r="V214" s="2" t="s">
        <v>62</v>
      </c>
    </row>
    <row r="215" spans="1:22" ht="18" customHeight="1" x14ac:dyDescent="0.3">
      <c r="A215" s="2" t="s">
        <v>1153</v>
      </c>
      <c r="B215" s="2" t="s">
        <v>1154</v>
      </c>
      <c r="C215" s="2" t="s">
        <v>1155</v>
      </c>
      <c r="D215" s="2" t="s">
        <v>1320</v>
      </c>
      <c r="E215" s="2" t="s">
        <v>75</v>
      </c>
      <c r="F215" s="2" t="s">
        <v>55</v>
      </c>
      <c r="G215" s="3">
        <v>46195.604953703703</v>
      </c>
      <c r="H215" s="3">
        <v>46197.579201388886</v>
      </c>
      <c r="I215" s="2" t="s">
        <v>77</v>
      </c>
      <c r="J215" s="2">
        <v>3</v>
      </c>
      <c r="K215" s="2" t="s">
        <v>1156</v>
      </c>
      <c r="L215" s="4" t="s">
        <v>188</v>
      </c>
      <c r="M215" s="2"/>
      <c r="N215" s="2" t="s">
        <v>78</v>
      </c>
      <c r="O215" s="2"/>
      <c r="P215" s="2" t="s">
        <v>78</v>
      </c>
      <c r="Q215" s="2" t="s">
        <v>94</v>
      </c>
      <c r="R215" s="2" t="s">
        <v>78</v>
      </c>
      <c r="S215" s="2" t="s">
        <v>60</v>
      </c>
      <c r="T215" s="6">
        <v>0.8208333333333333</v>
      </c>
      <c r="U215" s="2" t="s">
        <v>61</v>
      </c>
      <c r="V215" s="2" t="s">
        <v>62</v>
      </c>
    </row>
    <row r="216" spans="1:22" ht="18" customHeight="1" x14ac:dyDescent="0.3">
      <c r="A216" s="2" t="s">
        <v>1157</v>
      </c>
      <c r="B216" s="2" t="s">
        <v>968</v>
      </c>
      <c r="C216" s="2" t="s">
        <v>969</v>
      </c>
      <c r="D216" s="2" t="s">
        <v>1319</v>
      </c>
      <c r="E216" s="2" t="s">
        <v>66</v>
      </c>
      <c r="F216" s="2" t="s">
        <v>76</v>
      </c>
      <c r="G216" s="3">
        <v>46195.610775462963</v>
      </c>
      <c r="H216" s="3">
        <v>46198.411249999997</v>
      </c>
      <c r="I216" s="2" t="s">
        <v>97</v>
      </c>
      <c r="J216" s="2">
        <v>2</v>
      </c>
      <c r="K216" s="2" t="s">
        <v>1158</v>
      </c>
      <c r="L216" s="2"/>
      <c r="M216" s="2"/>
      <c r="N216" s="2" t="s">
        <v>105</v>
      </c>
      <c r="O216" s="2"/>
      <c r="P216" s="2" t="s">
        <v>98</v>
      </c>
      <c r="Q216" s="2" t="s">
        <v>106</v>
      </c>
      <c r="R216" s="2" t="s">
        <v>105</v>
      </c>
      <c r="S216" s="2" t="s">
        <v>60</v>
      </c>
      <c r="T216" s="5">
        <v>1.1131944444444444</v>
      </c>
      <c r="U216" s="2" t="s">
        <v>61</v>
      </c>
      <c r="V216" s="2" t="s">
        <v>62</v>
      </c>
    </row>
    <row r="217" spans="1:22" ht="18" customHeight="1" x14ac:dyDescent="0.3">
      <c r="A217" s="2" t="s">
        <v>1159</v>
      </c>
      <c r="B217" s="2" t="s">
        <v>968</v>
      </c>
      <c r="C217" s="2" t="s">
        <v>969</v>
      </c>
      <c r="D217" s="2" t="s">
        <v>1319</v>
      </c>
      <c r="E217" s="2" t="s">
        <v>66</v>
      </c>
      <c r="F217" s="2" t="s">
        <v>76</v>
      </c>
      <c r="G217" s="3">
        <v>46195.650949074072</v>
      </c>
      <c r="H217" s="3">
        <v>46197.69636574074</v>
      </c>
      <c r="I217" s="2" t="s">
        <v>97</v>
      </c>
      <c r="J217" s="2">
        <v>2</v>
      </c>
      <c r="K217" s="2" t="s">
        <v>1160</v>
      </c>
      <c r="L217" s="2"/>
      <c r="M217" s="2"/>
      <c r="N217" s="2" t="s">
        <v>105</v>
      </c>
      <c r="O217" s="2"/>
      <c r="P217" s="2" t="s">
        <v>98</v>
      </c>
      <c r="Q217" s="2" t="s">
        <v>106</v>
      </c>
      <c r="R217" s="2" t="s">
        <v>105</v>
      </c>
      <c r="S217" s="2" t="s">
        <v>60</v>
      </c>
      <c r="T217" s="6">
        <v>0.92083333333333328</v>
      </c>
      <c r="U217" s="2" t="s">
        <v>61</v>
      </c>
      <c r="V217" s="2" t="s">
        <v>62</v>
      </c>
    </row>
    <row r="218" spans="1:22" ht="18" customHeight="1" x14ac:dyDescent="0.3">
      <c r="A218" s="2" t="s">
        <v>1161</v>
      </c>
      <c r="B218" s="2" t="s">
        <v>265</v>
      </c>
      <c r="C218" s="2" t="s">
        <v>266</v>
      </c>
      <c r="D218" s="2" t="s">
        <v>1321</v>
      </c>
      <c r="E218" s="2" t="s">
        <v>54</v>
      </c>
      <c r="F218" s="2" t="s">
        <v>55</v>
      </c>
      <c r="G218" s="3">
        <v>46195.693599537037</v>
      </c>
      <c r="H218" s="3">
        <v>46196.58929398148</v>
      </c>
      <c r="I218" s="2" t="s">
        <v>100</v>
      </c>
      <c r="J218" s="2">
        <v>3</v>
      </c>
      <c r="K218" s="4" t="s">
        <v>1162</v>
      </c>
      <c r="L218" s="4" t="s">
        <v>1163</v>
      </c>
      <c r="M218" s="2"/>
      <c r="N218" s="2" t="s">
        <v>71</v>
      </c>
      <c r="O218" s="2"/>
      <c r="P218" s="2"/>
      <c r="Q218" s="2" t="s">
        <v>265</v>
      </c>
      <c r="R218" s="2" t="s">
        <v>71</v>
      </c>
      <c r="S218" s="2" t="s">
        <v>60</v>
      </c>
      <c r="T218" s="6">
        <v>0.33333333333333331</v>
      </c>
      <c r="U218" s="2" t="s">
        <v>61</v>
      </c>
      <c r="V218" s="2" t="s">
        <v>189</v>
      </c>
    </row>
    <row r="219" spans="1:22" ht="18" customHeight="1" x14ac:dyDescent="0.3">
      <c r="A219" s="2" t="s">
        <v>1164</v>
      </c>
      <c r="B219" s="2" t="s">
        <v>1129</v>
      </c>
      <c r="C219" s="2" t="s">
        <v>1130</v>
      </c>
      <c r="D219" s="2" t="s">
        <v>1321</v>
      </c>
      <c r="E219" s="2" t="s">
        <v>54</v>
      </c>
      <c r="F219" s="2" t="s">
        <v>55</v>
      </c>
      <c r="G219" s="3">
        <v>46195.729803240742</v>
      </c>
      <c r="H219" s="3">
        <v>46195.73982638889</v>
      </c>
      <c r="I219" s="2" t="s">
        <v>109</v>
      </c>
      <c r="J219" s="2">
        <v>3</v>
      </c>
      <c r="K219" s="4" t="s">
        <v>1165</v>
      </c>
      <c r="L219" s="4" t="s">
        <v>297</v>
      </c>
      <c r="M219" s="2"/>
      <c r="N219" s="2" t="s">
        <v>119</v>
      </c>
      <c r="O219" s="2"/>
      <c r="P219" s="2" t="s">
        <v>119</v>
      </c>
      <c r="Q219" s="2" t="s">
        <v>120</v>
      </c>
      <c r="R219" s="2" t="s">
        <v>119</v>
      </c>
      <c r="S219" s="2" t="s">
        <v>60</v>
      </c>
      <c r="T219" s="6">
        <v>1.0416666666666666E-2</v>
      </c>
      <c r="U219" s="2" t="s">
        <v>61</v>
      </c>
      <c r="V219" s="2" t="s">
        <v>62</v>
      </c>
    </row>
    <row r="220" spans="1:22" ht="18" customHeight="1" x14ac:dyDescent="0.3">
      <c r="A220" s="2" t="s">
        <v>1166</v>
      </c>
      <c r="B220" s="2" t="s">
        <v>1167</v>
      </c>
      <c r="C220" s="2" t="s">
        <v>1168</v>
      </c>
      <c r="D220" s="2" t="s">
        <v>1319</v>
      </c>
      <c r="E220" s="2" t="s">
        <v>66</v>
      </c>
      <c r="F220" s="2" t="s">
        <v>76</v>
      </c>
      <c r="G220" s="3">
        <v>46195.735983796294</v>
      </c>
      <c r="H220" s="3">
        <v>46199.476736111108</v>
      </c>
      <c r="I220" s="2" t="s">
        <v>1169</v>
      </c>
      <c r="J220" s="2">
        <v>3</v>
      </c>
      <c r="K220" s="2" t="s">
        <v>1170</v>
      </c>
      <c r="L220" s="4" t="s">
        <v>1171</v>
      </c>
      <c r="M220" s="2"/>
      <c r="N220" s="2" t="s">
        <v>81</v>
      </c>
      <c r="O220" s="2"/>
      <c r="P220" s="2" t="s">
        <v>1025</v>
      </c>
      <c r="Q220" s="2" t="s">
        <v>89</v>
      </c>
      <c r="R220" s="2" t="s">
        <v>81</v>
      </c>
      <c r="S220" s="2" t="s">
        <v>60</v>
      </c>
      <c r="T220" s="5">
        <v>1.4909722222222221</v>
      </c>
      <c r="U220" s="2" t="s">
        <v>61</v>
      </c>
      <c r="V220" s="2" t="s">
        <v>62</v>
      </c>
    </row>
    <row r="221" spans="1:22" ht="18" customHeight="1" x14ac:dyDescent="0.3">
      <c r="A221" s="2" t="s">
        <v>1172</v>
      </c>
      <c r="B221" s="2" t="s">
        <v>1173</v>
      </c>
      <c r="C221" s="2" t="s">
        <v>1174</v>
      </c>
      <c r="D221" s="2" t="s">
        <v>1319</v>
      </c>
      <c r="E221" s="2" t="s">
        <v>66</v>
      </c>
      <c r="F221" s="2" t="s">
        <v>76</v>
      </c>
      <c r="G221" s="3">
        <v>46195.742685185185</v>
      </c>
      <c r="H221" s="3">
        <v>46202.437685185185</v>
      </c>
      <c r="I221" s="2" t="s">
        <v>73</v>
      </c>
      <c r="J221" s="2">
        <v>2</v>
      </c>
      <c r="K221" s="2" t="s">
        <v>1175</v>
      </c>
      <c r="L221" s="4" t="s">
        <v>1176</v>
      </c>
      <c r="M221" s="2"/>
      <c r="N221" s="2" t="s">
        <v>58</v>
      </c>
      <c r="O221" s="2"/>
      <c r="P221" s="2" t="s">
        <v>58</v>
      </c>
      <c r="Q221" s="2" t="s">
        <v>59</v>
      </c>
      <c r="R221" s="2" t="s">
        <v>58</v>
      </c>
      <c r="S221" s="2" t="s">
        <v>60</v>
      </c>
      <c r="T221" s="5">
        <v>1.882638888888889</v>
      </c>
      <c r="U221" s="2" t="s">
        <v>108</v>
      </c>
      <c r="V221" s="2" t="s">
        <v>62</v>
      </c>
    </row>
    <row r="222" spans="1:22" ht="18" customHeight="1" x14ac:dyDescent="0.3">
      <c r="A222" s="2" t="s">
        <v>1177</v>
      </c>
      <c r="B222" s="2" t="s">
        <v>167</v>
      </c>
      <c r="C222" s="2" t="s">
        <v>168</v>
      </c>
      <c r="D222" s="2" t="s">
        <v>1321</v>
      </c>
      <c r="E222" s="2" t="s">
        <v>54</v>
      </c>
      <c r="F222" s="2" t="s">
        <v>55</v>
      </c>
      <c r="G222" s="3">
        <v>46196.360949074071</v>
      </c>
      <c r="H222" s="3">
        <v>46198.657986111109</v>
      </c>
      <c r="I222" s="2" t="s">
        <v>100</v>
      </c>
      <c r="J222" s="2">
        <v>3</v>
      </c>
      <c r="K222" s="4" t="s">
        <v>1178</v>
      </c>
      <c r="L222" s="2"/>
      <c r="M222" s="2"/>
      <c r="N222" s="2" t="s">
        <v>71</v>
      </c>
      <c r="O222" s="2"/>
      <c r="P222" s="2"/>
      <c r="Q222" s="2" t="s">
        <v>167</v>
      </c>
      <c r="R222" s="2" t="s">
        <v>71</v>
      </c>
      <c r="S222" s="2" t="s">
        <v>60</v>
      </c>
      <c r="T222" s="5">
        <v>1.1722222222222223</v>
      </c>
      <c r="U222" s="2" t="s">
        <v>61</v>
      </c>
      <c r="V222" s="2" t="s">
        <v>189</v>
      </c>
    </row>
    <row r="223" spans="1:22" ht="18" customHeight="1" x14ac:dyDescent="0.3">
      <c r="A223" s="2" t="s">
        <v>1179</v>
      </c>
      <c r="B223" s="2" t="s">
        <v>265</v>
      </c>
      <c r="C223" s="2" t="s">
        <v>266</v>
      </c>
      <c r="D223" s="2" t="s">
        <v>1321</v>
      </c>
      <c r="E223" s="2" t="s">
        <v>54</v>
      </c>
      <c r="F223" s="2" t="s">
        <v>55</v>
      </c>
      <c r="G223" s="3">
        <v>46196.437557870369</v>
      </c>
      <c r="H223" s="3">
        <v>46198.483298611114</v>
      </c>
      <c r="I223" s="2" t="s">
        <v>97</v>
      </c>
      <c r="J223" s="2">
        <v>2</v>
      </c>
      <c r="K223" s="2" t="s">
        <v>1180</v>
      </c>
      <c r="L223" s="2"/>
      <c r="M223" s="2"/>
      <c r="N223" s="2" t="s">
        <v>105</v>
      </c>
      <c r="O223" s="2"/>
      <c r="P223" s="2" t="s">
        <v>98</v>
      </c>
      <c r="Q223" s="2" t="s">
        <v>664</v>
      </c>
      <c r="R223" s="2" t="s">
        <v>105</v>
      </c>
      <c r="S223" s="2" t="s">
        <v>60</v>
      </c>
      <c r="T223" s="6">
        <v>0.92083333333333328</v>
      </c>
      <c r="U223" s="2" t="s">
        <v>61</v>
      </c>
      <c r="V223" s="2" t="s">
        <v>62</v>
      </c>
    </row>
    <row r="224" spans="1:22" ht="18" customHeight="1" x14ac:dyDescent="0.3">
      <c r="A224" s="2" t="s">
        <v>1181</v>
      </c>
      <c r="B224" s="2" t="s">
        <v>1182</v>
      </c>
      <c r="C224" s="2" t="s">
        <v>1183</v>
      </c>
      <c r="D224" s="2" t="s">
        <v>1319</v>
      </c>
      <c r="E224" s="2" t="s">
        <v>66</v>
      </c>
      <c r="F224" s="2" t="s">
        <v>67</v>
      </c>
      <c r="G224" s="3">
        <v>46196.495243055557</v>
      </c>
      <c r="H224" s="3">
        <v>46199.361261574071</v>
      </c>
      <c r="I224" s="2" t="s">
        <v>88</v>
      </c>
      <c r="J224" s="2">
        <v>3</v>
      </c>
      <c r="K224" s="2" t="s">
        <v>1184</v>
      </c>
      <c r="L224" s="4" t="s">
        <v>1185</v>
      </c>
      <c r="M224" s="2"/>
      <c r="N224" s="2" t="s">
        <v>78</v>
      </c>
      <c r="O224" s="2"/>
      <c r="P224" s="2" t="s">
        <v>79</v>
      </c>
      <c r="Q224" s="2" t="s">
        <v>80</v>
      </c>
      <c r="R224" s="2" t="s">
        <v>78</v>
      </c>
      <c r="S224" s="2" t="s">
        <v>60</v>
      </c>
      <c r="T224" s="5">
        <v>1.1312500000000001</v>
      </c>
      <c r="U224" s="2" t="s">
        <v>61</v>
      </c>
      <c r="V224" s="2" t="s">
        <v>62</v>
      </c>
    </row>
    <row r="225" spans="1:22" ht="18" customHeight="1" x14ac:dyDescent="0.3">
      <c r="A225" s="2" t="s">
        <v>1186</v>
      </c>
      <c r="B225" s="2" t="s">
        <v>1187</v>
      </c>
      <c r="C225" s="2" t="s">
        <v>1188</v>
      </c>
      <c r="D225" s="2" t="s">
        <v>1149</v>
      </c>
      <c r="E225" s="2" t="s">
        <v>54</v>
      </c>
      <c r="F225" s="2" t="s">
        <v>55</v>
      </c>
      <c r="G225" s="3">
        <v>46196.595879629633</v>
      </c>
      <c r="H225" s="3">
        <v>46202.454629629632</v>
      </c>
      <c r="I225" s="2" t="s">
        <v>77</v>
      </c>
      <c r="J225" s="2">
        <v>2</v>
      </c>
      <c r="K225" s="2" t="s">
        <v>1189</v>
      </c>
      <c r="L225" s="4" t="s">
        <v>1190</v>
      </c>
      <c r="M225" s="2"/>
      <c r="N225" s="2" t="s">
        <v>78</v>
      </c>
      <c r="O225" s="2"/>
      <c r="P225" s="2" t="s">
        <v>78</v>
      </c>
      <c r="Q225" s="2" t="s">
        <v>103</v>
      </c>
      <c r="R225" s="2" t="s">
        <v>78</v>
      </c>
      <c r="S225" s="2" t="s">
        <v>60</v>
      </c>
      <c r="T225" s="5">
        <v>1.6090277777777777</v>
      </c>
      <c r="U225" s="2" t="s">
        <v>61</v>
      </c>
      <c r="V225" s="2" t="s">
        <v>62</v>
      </c>
    </row>
    <row r="226" spans="1:22" ht="18" customHeight="1" x14ac:dyDescent="0.3">
      <c r="A226" s="2" t="s">
        <v>1191</v>
      </c>
      <c r="B226" s="2" t="s">
        <v>68</v>
      </c>
      <c r="C226" s="2" t="s">
        <v>69</v>
      </c>
      <c r="D226" s="2" t="s">
        <v>1321</v>
      </c>
      <c r="E226" s="2" t="s">
        <v>54</v>
      </c>
      <c r="F226" s="2" t="s">
        <v>55</v>
      </c>
      <c r="G226" s="3">
        <v>46196.603865740741</v>
      </c>
      <c r="H226" s="3">
        <v>46203.583923611113</v>
      </c>
      <c r="I226" s="2" t="s">
        <v>487</v>
      </c>
      <c r="J226" s="2">
        <v>3</v>
      </c>
      <c r="K226" s="2" t="s">
        <v>1192</v>
      </c>
      <c r="L226" s="4" t="s">
        <v>1193</v>
      </c>
      <c r="M226" s="2"/>
      <c r="N226" s="2" t="s">
        <v>71</v>
      </c>
      <c r="O226" s="2"/>
      <c r="P226" s="2" t="s">
        <v>156</v>
      </c>
      <c r="Q226" s="2" t="s">
        <v>153</v>
      </c>
      <c r="R226" s="2" t="s">
        <v>71</v>
      </c>
      <c r="S226" s="2" t="s">
        <v>60</v>
      </c>
      <c r="T226" s="5">
        <v>2.1680555555555556</v>
      </c>
      <c r="U226" s="2" t="s">
        <v>108</v>
      </c>
      <c r="V226" s="2" t="s">
        <v>62</v>
      </c>
    </row>
    <row r="227" spans="1:22" ht="18" customHeight="1" x14ac:dyDescent="0.3">
      <c r="A227" s="2" t="s">
        <v>1194</v>
      </c>
      <c r="B227" s="2" t="s">
        <v>1111</v>
      </c>
      <c r="C227" s="2" t="s">
        <v>1112</v>
      </c>
      <c r="D227" s="2" t="s">
        <v>1319</v>
      </c>
      <c r="E227" s="2" t="s">
        <v>66</v>
      </c>
      <c r="F227" s="2" t="s">
        <v>76</v>
      </c>
      <c r="G227" s="3">
        <v>46196.610509259262</v>
      </c>
      <c r="H227" s="3">
        <v>46197.35392361111</v>
      </c>
      <c r="I227" s="2" t="s">
        <v>63</v>
      </c>
      <c r="J227" s="2">
        <v>2</v>
      </c>
      <c r="K227" s="2" t="s">
        <v>1195</v>
      </c>
      <c r="L227" s="2"/>
      <c r="M227" s="2"/>
      <c r="N227" s="2" t="s">
        <v>58</v>
      </c>
      <c r="O227" s="2"/>
      <c r="P227" s="2" t="s">
        <v>137</v>
      </c>
      <c r="Q227" s="2" t="s">
        <v>151</v>
      </c>
      <c r="R227" s="2" t="s">
        <v>58</v>
      </c>
      <c r="S227" s="2" t="s">
        <v>60</v>
      </c>
      <c r="T227" s="6">
        <v>0.20208333333333334</v>
      </c>
      <c r="U227" s="2" t="s">
        <v>61</v>
      </c>
      <c r="V227" s="2" t="s">
        <v>62</v>
      </c>
    </row>
    <row r="228" spans="1:22" ht="18" customHeight="1" x14ac:dyDescent="0.3">
      <c r="A228" s="2" t="s">
        <v>1196</v>
      </c>
      <c r="B228" s="2" t="s">
        <v>1182</v>
      </c>
      <c r="C228" s="2" t="s">
        <v>1183</v>
      </c>
      <c r="D228" s="2" t="s">
        <v>1319</v>
      </c>
      <c r="E228" s="2" t="s">
        <v>66</v>
      </c>
      <c r="F228" s="2" t="s">
        <v>67</v>
      </c>
      <c r="G228" s="3">
        <v>46196.646111111113</v>
      </c>
      <c r="H228" s="3">
        <v>46196.714062500003</v>
      </c>
      <c r="I228" s="2" t="s">
        <v>121</v>
      </c>
      <c r="J228" s="2">
        <v>2</v>
      </c>
      <c r="K228" s="2" t="s">
        <v>1197</v>
      </c>
      <c r="L228" s="4" t="s">
        <v>1198</v>
      </c>
      <c r="M228" s="2"/>
      <c r="N228" s="2" t="s">
        <v>78</v>
      </c>
      <c r="O228" s="2"/>
      <c r="P228" s="2" t="s">
        <v>79</v>
      </c>
      <c r="Q228" s="2" t="s">
        <v>80</v>
      </c>
      <c r="R228" s="2" t="s">
        <v>78</v>
      </c>
      <c r="S228" s="2" t="s">
        <v>60</v>
      </c>
      <c r="T228" s="6">
        <v>6.805555555555555E-2</v>
      </c>
      <c r="U228" s="2" t="s">
        <v>61</v>
      </c>
      <c r="V228" s="2" t="s">
        <v>62</v>
      </c>
    </row>
    <row r="229" spans="1:22" ht="18" customHeight="1" x14ac:dyDescent="0.3">
      <c r="A229" s="2" t="s">
        <v>1199</v>
      </c>
      <c r="B229" s="2" t="s">
        <v>1063</v>
      </c>
      <c r="C229" s="2" t="s">
        <v>1064</v>
      </c>
      <c r="D229" s="2" t="s">
        <v>1319</v>
      </c>
      <c r="E229" s="2" t="s">
        <v>66</v>
      </c>
      <c r="F229" s="2" t="s">
        <v>76</v>
      </c>
      <c r="G229" s="3">
        <v>46196.659108796295</v>
      </c>
      <c r="H229" s="3">
        <v>46197.355578703704</v>
      </c>
      <c r="I229" s="2" t="s">
        <v>77</v>
      </c>
      <c r="J229" s="2">
        <v>2</v>
      </c>
      <c r="K229" s="2" t="s">
        <v>1200</v>
      </c>
      <c r="L229" s="4" t="s">
        <v>1201</v>
      </c>
      <c r="M229" s="2"/>
      <c r="N229" s="2" t="s">
        <v>81</v>
      </c>
      <c r="O229" s="2"/>
      <c r="P229" s="2" t="s">
        <v>81</v>
      </c>
      <c r="Q229" s="2" t="s">
        <v>90</v>
      </c>
      <c r="R229" s="2" t="s">
        <v>81</v>
      </c>
      <c r="S229" s="2" t="s">
        <v>60</v>
      </c>
      <c r="T229" s="6">
        <v>0.13402777777777777</v>
      </c>
      <c r="U229" s="2" t="s">
        <v>61</v>
      </c>
      <c r="V229" s="2" t="s">
        <v>62</v>
      </c>
    </row>
    <row r="230" spans="1:22" ht="18" customHeight="1" x14ac:dyDescent="0.3">
      <c r="A230" s="2" t="s">
        <v>1202</v>
      </c>
      <c r="B230" s="2" t="s">
        <v>80</v>
      </c>
      <c r="C230" s="2" t="s">
        <v>655</v>
      </c>
      <c r="D230" s="2" t="s">
        <v>1321</v>
      </c>
      <c r="E230" s="2" t="s">
        <v>54</v>
      </c>
      <c r="F230" s="2" t="s">
        <v>67</v>
      </c>
      <c r="G230" s="3">
        <v>46196.680798611109</v>
      </c>
      <c r="H230" s="3">
        <v>46197.691712962966</v>
      </c>
      <c r="I230" s="2" t="s">
        <v>63</v>
      </c>
      <c r="J230" s="2">
        <v>3</v>
      </c>
      <c r="K230" s="2" t="s">
        <v>656</v>
      </c>
      <c r="L230" s="4" t="s">
        <v>64</v>
      </c>
      <c r="M230" s="2"/>
      <c r="N230" s="2" t="s">
        <v>58</v>
      </c>
      <c r="O230" s="2"/>
      <c r="P230" s="2" t="s">
        <v>58</v>
      </c>
      <c r="Q230" s="2" t="s">
        <v>65</v>
      </c>
      <c r="R230" s="2" t="s">
        <v>58</v>
      </c>
      <c r="S230" s="2" t="s">
        <v>60</v>
      </c>
      <c r="T230" s="6">
        <v>0.46944444444444444</v>
      </c>
      <c r="U230" s="2" t="s">
        <v>61</v>
      </c>
      <c r="V230" s="2" t="s">
        <v>62</v>
      </c>
    </row>
    <row r="231" spans="1:22" ht="18" customHeight="1" x14ac:dyDescent="0.3">
      <c r="A231" s="2" t="s">
        <v>1203</v>
      </c>
      <c r="B231" s="2" t="s">
        <v>144</v>
      </c>
      <c r="C231" s="2" t="s">
        <v>145</v>
      </c>
      <c r="D231" s="2" t="s">
        <v>1321</v>
      </c>
      <c r="E231" s="2" t="s">
        <v>54</v>
      </c>
      <c r="F231" s="2" t="s">
        <v>55</v>
      </c>
      <c r="G231" s="3">
        <v>46196.751377314817</v>
      </c>
      <c r="H231" s="3">
        <v>46203.209849537037</v>
      </c>
      <c r="I231" s="2" t="s">
        <v>187</v>
      </c>
      <c r="J231" s="2">
        <v>3</v>
      </c>
      <c r="K231" s="2" t="s">
        <v>1204</v>
      </c>
      <c r="L231" s="4" t="s">
        <v>1205</v>
      </c>
      <c r="M231" s="2"/>
      <c r="N231" s="2" t="s">
        <v>58</v>
      </c>
      <c r="O231" s="2"/>
      <c r="P231" s="2" t="s">
        <v>58</v>
      </c>
      <c r="Q231" s="2" t="s">
        <v>74</v>
      </c>
      <c r="R231" s="2" t="s">
        <v>58</v>
      </c>
      <c r="S231" s="2" t="s">
        <v>60</v>
      </c>
      <c r="T231" s="5">
        <v>1.7229166666666667</v>
      </c>
      <c r="U231" s="2" t="s">
        <v>108</v>
      </c>
      <c r="V231" s="2" t="s">
        <v>62</v>
      </c>
    </row>
    <row r="232" spans="1:22" ht="18" customHeight="1" x14ac:dyDescent="0.3">
      <c r="A232" s="2" t="s">
        <v>1206</v>
      </c>
      <c r="B232" s="2" t="s">
        <v>68</v>
      </c>
      <c r="C232" s="2" t="s">
        <v>69</v>
      </c>
      <c r="D232" s="2" t="s">
        <v>1321</v>
      </c>
      <c r="E232" s="2" t="s">
        <v>54</v>
      </c>
      <c r="F232" s="2" t="s">
        <v>55</v>
      </c>
      <c r="G232" s="3">
        <v>46197.404189814813</v>
      </c>
      <c r="H232" s="3">
        <v>46199.351111111115</v>
      </c>
      <c r="I232" s="2" t="s">
        <v>70</v>
      </c>
      <c r="J232" s="2">
        <v>3</v>
      </c>
      <c r="K232" s="2" t="s">
        <v>1207</v>
      </c>
      <c r="L232" s="2"/>
      <c r="M232" s="2"/>
      <c r="N232" s="2" t="s">
        <v>71</v>
      </c>
      <c r="O232" s="2"/>
      <c r="P232" s="2" t="s">
        <v>71</v>
      </c>
      <c r="Q232" s="2" t="s">
        <v>242</v>
      </c>
      <c r="R232" s="2" t="s">
        <v>71</v>
      </c>
      <c r="S232" s="2" t="s">
        <v>60</v>
      </c>
      <c r="T232" s="6">
        <v>0.82222222222222219</v>
      </c>
      <c r="U232" s="2" t="s">
        <v>61</v>
      </c>
      <c r="V232" s="2" t="s">
        <v>62</v>
      </c>
    </row>
    <row r="233" spans="1:22" ht="18" customHeight="1" x14ac:dyDescent="0.3">
      <c r="A233" s="2" t="s">
        <v>1208</v>
      </c>
      <c r="B233" s="2" t="s">
        <v>1209</v>
      </c>
      <c r="C233" s="2" t="s">
        <v>1210</v>
      </c>
      <c r="D233" s="2" t="s">
        <v>1319</v>
      </c>
      <c r="E233" s="2" t="s">
        <v>66</v>
      </c>
      <c r="F233" s="2" t="s">
        <v>76</v>
      </c>
      <c r="G233" s="3">
        <v>46197.465162037035</v>
      </c>
      <c r="H233" s="3">
        <v>46198.372256944444</v>
      </c>
      <c r="I233" s="2" t="s">
        <v>154</v>
      </c>
      <c r="J233" s="2">
        <v>3</v>
      </c>
      <c r="K233" s="2" t="s">
        <v>155</v>
      </c>
      <c r="L233" s="4" t="s">
        <v>1211</v>
      </c>
      <c r="M233" s="2"/>
      <c r="N233" s="2" t="s">
        <v>81</v>
      </c>
      <c r="O233" s="2"/>
      <c r="P233" s="2" t="s">
        <v>156</v>
      </c>
      <c r="Q233" s="2" t="s">
        <v>153</v>
      </c>
      <c r="R233" s="2" t="s">
        <v>81</v>
      </c>
      <c r="S233" s="2" t="s">
        <v>60</v>
      </c>
      <c r="T233" s="6">
        <v>0.34513888888888888</v>
      </c>
      <c r="U233" s="2" t="s">
        <v>61</v>
      </c>
      <c r="V233" s="2" t="s">
        <v>62</v>
      </c>
    </row>
    <row r="234" spans="1:22" ht="18" customHeight="1" x14ac:dyDescent="0.3">
      <c r="A234" s="2" t="s">
        <v>1212</v>
      </c>
      <c r="B234" s="2" t="s">
        <v>167</v>
      </c>
      <c r="C234" s="2" t="s">
        <v>168</v>
      </c>
      <c r="D234" s="2" t="s">
        <v>1321</v>
      </c>
      <c r="E234" s="2" t="s">
        <v>54</v>
      </c>
      <c r="F234" s="2" t="s">
        <v>55</v>
      </c>
      <c r="G234" s="3">
        <v>46197.479537037034</v>
      </c>
      <c r="H234" s="3">
        <v>46199.353078703702</v>
      </c>
      <c r="I234" s="2" t="s">
        <v>70</v>
      </c>
      <c r="J234" s="2">
        <v>3</v>
      </c>
      <c r="K234" s="2" t="s">
        <v>1213</v>
      </c>
      <c r="L234" s="2"/>
      <c r="M234" s="2"/>
      <c r="N234" s="2" t="s">
        <v>71</v>
      </c>
      <c r="O234" s="2"/>
      <c r="P234" s="2" t="s">
        <v>71</v>
      </c>
      <c r="Q234" s="2" t="s">
        <v>242</v>
      </c>
      <c r="R234" s="2" t="s">
        <v>71</v>
      </c>
      <c r="S234" s="2" t="s">
        <v>60</v>
      </c>
      <c r="T234" s="6">
        <v>0.74861111111111112</v>
      </c>
      <c r="U234" s="2" t="s">
        <v>61</v>
      </c>
      <c r="V234" s="2" t="s">
        <v>62</v>
      </c>
    </row>
    <row r="235" spans="1:22" ht="18" customHeight="1" x14ac:dyDescent="0.3">
      <c r="A235" s="2" t="s">
        <v>1214</v>
      </c>
      <c r="B235" s="2" t="s">
        <v>196</v>
      </c>
      <c r="C235" s="2" t="s">
        <v>197</v>
      </c>
      <c r="D235" s="2" t="s">
        <v>1319</v>
      </c>
      <c r="E235" s="2" t="s">
        <v>66</v>
      </c>
      <c r="F235" s="2" t="s">
        <v>76</v>
      </c>
      <c r="G235" s="3">
        <v>46197.505416666667</v>
      </c>
      <c r="H235" s="3">
        <v>46203.367013888892</v>
      </c>
      <c r="I235" s="2" t="s">
        <v>121</v>
      </c>
      <c r="J235" s="2">
        <v>2</v>
      </c>
      <c r="K235" s="2" t="s">
        <v>122</v>
      </c>
      <c r="L235" s="4" t="s">
        <v>505</v>
      </c>
      <c r="M235" s="2"/>
      <c r="N235" s="2" t="s">
        <v>81</v>
      </c>
      <c r="O235" s="2"/>
      <c r="P235" s="2" t="s">
        <v>81</v>
      </c>
      <c r="Q235" s="2" t="s">
        <v>90</v>
      </c>
      <c r="R235" s="2" t="s">
        <v>81</v>
      </c>
      <c r="S235" s="2" t="s">
        <v>60</v>
      </c>
      <c r="T235" s="5">
        <v>1.6118055555555555</v>
      </c>
      <c r="U235" s="2" t="s">
        <v>108</v>
      </c>
      <c r="V235" s="2" t="s">
        <v>62</v>
      </c>
    </row>
    <row r="236" spans="1:22" ht="18" customHeight="1" x14ac:dyDescent="0.3">
      <c r="A236" s="2" t="s">
        <v>1215</v>
      </c>
      <c r="B236" s="2" t="s">
        <v>435</v>
      </c>
      <c r="C236" s="2" t="s">
        <v>436</v>
      </c>
      <c r="D236" s="2" t="s">
        <v>1142</v>
      </c>
      <c r="E236" s="2" t="s">
        <v>72</v>
      </c>
      <c r="F236" s="2" t="s">
        <v>55</v>
      </c>
      <c r="G236" s="3">
        <v>46197.562141203707</v>
      </c>
      <c r="H236" s="3">
        <v>46197.676238425927</v>
      </c>
      <c r="I236" s="2" t="s">
        <v>128</v>
      </c>
      <c r="J236" s="2">
        <v>3</v>
      </c>
      <c r="K236" s="2" t="s">
        <v>129</v>
      </c>
      <c r="L236" s="4" t="s">
        <v>219</v>
      </c>
      <c r="M236" s="2"/>
      <c r="N236" s="2" t="s">
        <v>71</v>
      </c>
      <c r="O236" s="2"/>
      <c r="P236" s="2" t="s">
        <v>71</v>
      </c>
      <c r="Q236" s="2" t="s">
        <v>130</v>
      </c>
      <c r="R236" s="2" t="s">
        <v>71</v>
      </c>
      <c r="S236" s="2" t="s">
        <v>60</v>
      </c>
      <c r="T236" s="6">
        <v>0.11458333333333333</v>
      </c>
      <c r="U236" s="2" t="s">
        <v>61</v>
      </c>
      <c r="V236" s="2" t="s">
        <v>62</v>
      </c>
    </row>
    <row r="237" spans="1:22" ht="18" customHeight="1" x14ac:dyDescent="0.3">
      <c r="A237" s="2" t="s">
        <v>1216</v>
      </c>
      <c r="B237" s="2" t="s">
        <v>1217</v>
      </c>
      <c r="C237" s="2" t="s">
        <v>1218</v>
      </c>
      <c r="D237" s="2" t="s">
        <v>1319</v>
      </c>
      <c r="E237" s="2" t="s">
        <v>66</v>
      </c>
      <c r="F237" s="2" t="s">
        <v>76</v>
      </c>
      <c r="G237" s="3">
        <v>46197.718657407408</v>
      </c>
      <c r="H237" s="3">
        <v>46203.619814814818</v>
      </c>
      <c r="I237" s="2" t="s">
        <v>99</v>
      </c>
      <c r="J237" s="2">
        <v>3</v>
      </c>
      <c r="K237" s="2" t="s">
        <v>1219</v>
      </c>
      <c r="L237" s="4" t="s">
        <v>1220</v>
      </c>
      <c r="M237" s="2"/>
      <c r="N237" s="2" t="s">
        <v>81</v>
      </c>
      <c r="O237" s="2"/>
      <c r="P237" s="2" t="s">
        <v>81</v>
      </c>
      <c r="Q237" s="2" t="s">
        <v>90</v>
      </c>
      <c r="R237" s="2" t="s">
        <v>81</v>
      </c>
      <c r="S237" s="2" t="s">
        <v>60</v>
      </c>
      <c r="T237" s="5">
        <v>1.6513888888888888</v>
      </c>
      <c r="U237" s="2" t="s">
        <v>108</v>
      </c>
      <c r="V237" s="2" t="s">
        <v>62</v>
      </c>
    </row>
    <row r="238" spans="1:22" ht="18" customHeight="1" x14ac:dyDescent="0.3">
      <c r="A238" s="2" t="s">
        <v>1221</v>
      </c>
      <c r="B238" s="2" t="s">
        <v>1154</v>
      </c>
      <c r="C238" s="2" t="s">
        <v>1155</v>
      </c>
      <c r="D238" s="2" t="s">
        <v>1320</v>
      </c>
      <c r="E238" s="2" t="s">
        <v>75</v>
      </c>
      <c r="F238" s="2" t="s">
        <v>55</v>
      </c>
      <c r="G238" s="3">
        <v>46198.411550925928</v>
      </c>
      <c r="H238" s="3">
        <v>46202.453043981484</v>
      </c>
      <c r="I238" s="2" t="s">
        <v>77</v>
      </c>
      <c r="J238" s="2">
        <v>3</v>
      </c>
      <c r="K238" s="2" t="s">
        <v>1222</v>
      </c>
      <c r="L238" s="4" t="s">
        <v>1223</v>
      </c>
      <c r="M238" s="2"/>
      <c r="N238" s="2" t="s">
        <v>78</v>
      </c>
      <c r="O238" s="2"/>
      <c r="P238" s="2" t="s">
        <v>78</v>
      </c>
      <c r="Q238" s="2" t="s">
        <v>103</v>
      </c>
      <c r="R238" s="2" t="s">
        <v>78</v>
      </c>
      <c r="S238" s="2" t="s">
        <v>60</v>
      </c>
      <c r="T238" s="6">
        <v>0.91666666666666663</v>
      </c>
      <c r="U238" s="2" t="s">
        <v>61</v>
      </c>
      <c r="V238" s="2" t="s">
        <v>62</v>
      </c>
    </row>
    <row r="239" spans="1:22" ht="18" customHeight="1" x14ac:dyDescent="0.3">
      <c r="A239" s="2" t="s">
        <v>1224</v>
      </c>
      <c r="B239" s="2" t="s">
        <v>373</v>
      </c>
      <c r="C239" s="2" t="s">
        <v>374</v>
      </c>
      <c r="D239" s="2" t="s">
        <v>1319</v>
      </c>
      <c r="E239" s="2" t="s">
        <v>66</v>
      </c>
      <c r="F239" s="2" t="s">
        <v>76</v>
      </c>
      <c r="G239" s="3">
        <v>46198.450833333336</v>
      </c>
      <c r="H239" s="3">
        <v>46203.361620370371</v>
      </c>
      <c r="I239" s="2" t="s">
        <v>123</v>
      </c>
      <c r="J239" s="2">
        <v>3</v>
      </c>
      <c r="K239" s="2" t="s">
        <v>133</v>
      </c>
      <c r="L239" s="4" t="s">
        <v>1225</v>
      </c>
      <c r="M239" s="2"/>
      <c r="N239" s="2" t="s">
        <v>81</v>
      </c>
      <c r="O239" s="2"/>
      <c r="P239" s="2" t="s">
        <v>81</v>
      </c>
      <c r="Q239" s="2" t="s">
        <v>90</v>
      </c>
      <c r="R239" s="2" t="s">
        <v>81</v>
      </c>
      <c r="S239" s="2" t="s">
        <v>60</v>
      </c>
      <c r="T239" s="5">
        <v>1.2236111111111112</v>
      </c>
      <c r="U239" s="2" t="s">
        <v>108</v>
      </c>
      <c r="V239" s="2" t="s">
        <v>62</v>
      </c>
    </row>
    <row r="240" spans="1:22" ht="18" customHeight="1" x14ac:dyDescent="0.3">
      <c r="A240" s="2" t="s">
        <v>1226</v>
      </c>
      <c r="B240" s="2" t="s">
        <v>220</v>
      </c>
      <c r="C240" s="2" t="s">
        <v>221</v>
      </c>
      <c r="D240" s="2" t="s">
        <v>1149</v>
      </c>
      <c r="E240" s="2" t="s">
        <v>54</v>
      </c>
      <c r="F240" s="2" t="s">
        <v>55</v>
      </c>
      <c r="G240" s="3">
        <v>46198.629247685189</v>
      </c>
      <c r="H240" s="3">
        <v>46204.399074074077</v>
      </c>
      <c r="I240" s="2" t="s">
        <v>118</v>
      </c>
      <c r="J240" s="2">
        <v>3</v>
      </c>
      <c r="K240" s="4" t="s">
        <v>1227</v>
      </c>
      <c r="L240" s="4" t="s">
        <v>1228</v>
      </c>
      <c r="M240" s="2"/>
      <c r="N240" s="2" t="s">
        <v>78</v>
      </c>
      <c r="O240" s="2"/>
      <c r="P240" s="2" t="s">
        <v>78</v>
      </c>
      <c r="Q240" s="2" t="s">
        <v>94</v>
      </c>
      <c r="R240" s="2" t="s">
        <v>78</v>
      </c>
      <c r="S240" s="2" t="s">
        <v>60</v>
      </c>
      <c r="T240" s="6">
        <v>0.2013888888888889</v>
      </c>
      <c r="U240" s="2" t="s">
        <v>108</v>
      </c>
      <c r="V240" s="2" t="s">
        <v>62</v>
      </c>
    </row>
    <row r="241" spans="1:22" ht="18" customHeight="1" x14ac:dyDescent="0.3">
      <c r="A241" s="2" t="s">
        <v>1229</v>
      </c>
      <c r="B241" s="2" t="s">
        <v>1230</v>
      </c>
      <c r="C241" s="2" t="s">
        <v>1231</v>
      </c>
      <c r="D241" s="2" t="s">
        <v>1319</v>
      </c>
      <c r="E241" s="2" t="s">
        <v>66</v>
      </c>
      <c r="F241" s="2" t="s">
        <v>76</v>
      </c>
      <c r="G241" s="3">
        <v>46198.65896990741</v>
      </c>
      <c r="H241" s="3">
        <v>46203.409872685188</v>
      </c>
      <c r="I241" s="2" t="s">
        <v>109</v>
      </c>
      <c r="J241" s="2">
        <v>2</v>
      </c>
      <c r="K241" s="4" t="s">
        <v>1232</v>
      </c>
      <c r="L241" s="2"/>
      <c r="M241" s="2"/>
      <c r="N241" s="2" t="s">
        <v>110</v>
      </c>
      <c r="O241" s="2"/>
      <c r="P241" s="2" t="s">
        <v>110</v>
      </c>
      <c r="Q241" s="2" t="s">
        <v>111</v>
      </c>
      <c r="R241" s="2" t="s">
        <v>110</v>
      </c>
      <c r="S241" s="2" t="s">
        <v>60</v>
      </c>
      <c r="T241" s="5">
        <v>1.0638888888888889</v>
      </c>
      <c r="U241" s="2" t="s">
        <v>108</v>
      </c>
      <c r="V241" s="2" t="s">
        <v>62</v>
      </c>
    </row>
    <row r="242" spans="1:22" ht="18" customHeight="1" x14ac:dyDescent="0.3">
      <c r="A242" s="2" t="s">
        <v>1233</v>
      </c>
      <c r="B242" s="2" t="s">
        <v>167</v>
      </c>
      <c r="C242" s="2" t="s">
        <v>168</v>
      </c>
      <c r="D242" s="2" t="s">
        <v>1321</v>
      </c>
      <c r="E242" s="2" t="s">
        <v>54</v>
      </c>
      <c r="F242" s="2" t="s">
        <v>55</v>
      </c>
      <c r="G242" s="3">
        <v>46198.666168981479</v>
      </c>
      <c r="H242" s="3">
        <v>46202.5153587963</v>
      </c>
      <c r="I242" s="2" t="s">
        <v>70</v>
      </c>
      <c r="J242" s="2">
        <v>3</v>
      </c>
      <c r="K242" s="2" t="s">
        <v>1234</v>
      </c>
      <c r="L242" s="2"/>
      <c r="M242" s="2"/>
      <c r="N242" s="2" t="s">
        <v>71</v>
      </c>
      <c r="O242" s="2"/>
      <c r="P242" s="2" t="s">
        <v>71</v>
      </c>
      <c r="Q242" s="2" t="s">
        <v>104</v>
      </c>
      <c r="R242" s="2" t="s">
        <v>71</v>
      </c>
      <c r="S242" s="2" t="s">
        <v>60</v>
      </c>
      <c r="T242" s="6">
        <v>0.72430555555555554</v>
      </c>
      <c r="U242" s="2" t="s">
        <v>61</v>
      </c>
      <c r="V242" s="2" t="s">
        <v>62</v>
      </c>
    </row>
    <row r="243" spans="1:22" ht="18" customHeight="1" x14ac:dyDescent="0.3">
      <c r="A243" s="2" t="s">
        <v>1235</v>
      </c>
      <c r="B243" s="2" t="s">
        <v>214</v>
      </c>
      <c r="C243" s="2" t="s">
        <v>215</v>
      </c>
      <c r="D243" s="2" t="s">
        <v>1319</v>
      </c>
      <c r="E243" s="2" t="s">
        <v>66</v>
      </c>
      <c r="F243" s="2" t="s">
        <v>67</v>
      </c>
      <c r="G243" s="3">
        <v>46199.446331018517</v>
      </c>
      <c r="H243" s="3">
        <v>46203.380046296297</v>
      </c>
      <c r="I243" s="2" t="s">
        <v>77</v>
      </c>
      <c r="J243" s="2">
        <v>2</v>
      </c>
      <c r="K243" s="2" t="s">
        <v>1236</v>
      </c>
      <c r="L243" s="4" t="s">
        <v>1237</v>
      </c>
      <c r="M243" s="2"/>
      <c r="N243" s="2" t="s">
        <v>78</v>
      </c>
      <c r="O243" s="2"/>
      <c r="P243" s="2" t="s">
        <v>79</v>
      </c>
      <c r="Q243" s="2" t="s">
        <v>80</v>
      </c>
      <c r="R243" s="2" t="s">
        <v>78</v>
      </c>
      <c r="S243" s="2" t="s">
        <v>60</v>
      </c>
      <c r="T243" s="6">
        <v>0.74722222222222223</v>
      </c>
      <c r="U243" s="2" t="s">
        <v>108</v>
      </c>
      <c r="V243" s="2" t="s">
        <v>62</v>
      </c>
    </row>
    <row r="244" spans="1:22" ht="18" customHeight="1" x14ac:dyDescent="0.3">
      <c r="A244" s="2" t="s">
        <v>1238</v>
      </c>
      <c r="B244" s="2" t="s">
        <v>167</v>
      </c>
      <c r="C244" s="2" t="s">
        <v>168</v>
      </c>
      <c r="D244" s="2" t="s">
        <v>1321</v>
      </c>
      <c r="E244" s="2" t="s">
        <v>54</v>
      </c>
      <c r="F244" s="2" t="s">
        <v>55</v>
      </c>
      <c r="G244" s="3">
        <v>46199.46162037037</v>
      </c>
      <c r="H244" s="3">
        <v>46202.514918981484</v>
      </c>
      <c r="I244" s="2" t="s">
        <v>70</v>
      </c>
      <c r="J244" s="2">
        <v>3</v>
      </c>
      <c r="K244" s="2" t="s">
        <v>1239</v>
      </c>
      <c r="L244" s="2"/>
      <c r="M244" s="2"/>
      <c r="N244" s="2" t="s">
        <v>71</v>
      </c>
      <c r="O244" s="2"/>
      <c r="P244" s="2" t="s">
        <v>71</v>
      </c>
      <c r="Q244" s="2" t="s">
        <v>104</v>
      </c>
      <c r="R244" s="2" t="s">
        <v>71</v>
      </c>
      <c r="S244" s="2" t="s">
        <v>60</v>
      </c>
      <c r="T244" s="6">
        <v>0.4909722222222222</v>
      </c>
      <c r="U244" s="2" t="s">
        <v>61</v>
      </c>
      <c r="V244" s="2" t="s">
        <v>62</v>
      </c>
    </row>
    <row r="245" spans="1:22" ht="18" customHeight="1" x14ac:dyDescent="0.3">
      <c r="A245" s="2" t="s">
        <v>1240</v>
      </c>
      <c r="B245" s="2" t="s">
        <v>167</v>
      </c>
      <c r="C245" s="2" t="s">
        <v>168</v>
      </c>
      <c r="D245" s="2" t="s">
        <v>1321</v>
      </c>
      <c r="E245" s="2" t="s">
        <v>54</v>
      </c>
      <c r="F245" s="2" t="s">
        <v>55</v>
      </c>
      <c r="G245" s="3">
        <v>46199.462511574071</v>
      </c>
      <c r="H245" s="3">
        <v>46202.514432870368</v>
      </c>
      <c r="I245" s="2" t="s">
        <v>70</v>
      </c>
      <c r="J245" s="2">
        <v>3</v>
      </c>
      <c r="K245" s="2" t="s">
        <v>1241</v>
      </c>
      <c r="L245" s="2"/>
      <c r="M245" s="2"/>
      <c r="N245" s="2" t="s">
        <v>71</v>
      </c>
      <c r="O245" s="2"/>
      <c r="P245" s="2" t="s">
        <v>71</v>
      </c>
      <c r="Q245" s="2" t="s">
        <v>104</v>
      </c>
      <c r="R245" s="2" t="s">
        <v>71</v>
      </c>
      <c r="S245" s="2" t="s">
        <v>60</v>
      </c>
      <c r="T245" s="6">
        <v>0.48958333333333331</v>
      </c>
      <c r="U245" s="2" t="s">
        <v>61</v>
      </c>
      <c r="V245" s="2" t="s">
        <v>62</v>
      </c>
    </row>
    <row r="246" spans="1:22" ht="18" customHeight="1" x14ac:dyDescent="0.3">
      <c r="A246" s="2" t="s">
        <v>1242</v>
      </c>
      <c r="B246" s="2" t="s">
        <v>1243</v>
      </c>
      <c r="C246" s="2" t="s">
        <v>1244</v>
      </c>
      <c r="D246" s="2" t="s">
        <v>1321</v>
      </c>
      <c r="E246" s="2" t="s">
        <v>54</v>
      </c>
      <c r="F246" s="2" t="s">
        <v>55</v>
      </c>
      <c r="G246" s="3">
        <v>46202.417847222219</v>
      </c>
      <c r="H246" s="3">
        <v>46204.659525462965</v>
      </c>
      <c r="I246" s="2" t="s">
        <v>97</v>
      </c>
      <c r="J246" s="2">
        <v>2</v>
      </c>
      <c r="K246" s="2" t="s">
        <v>1245</v>
      </c>
      <c r="L246" s="2"/>
      <c r="M246" s="2"/>
      <c r="N246" s="2" t="s">
        <v>105</v>
      </c>
      <c r="O246" s="2"/>
      <c r="P246" s="2" t="s">
        <v>98</v>
      </c>
      <c r="Q246" s="2" t="s">
        <v>106</v>
      </c>
      <c r="R246" s="2" t="s">
        <v>105</v>
      </c>
      <c r="S246" s="2" t="s">
        <v>60</v>
      </c>
      <c r="T246" s="5">
        <v>1.117361111111111</v>
      </c>
      <c r="U246" s="2" t="s">
        <v>108</v>
      </c>
      <c r="V246" s="2" t="s">
        <v>62</v>
      </c>
    </row>
    <row r="247" spans="1:22" ht="18" customHeight="1" x14ac:dyDescent="0.3">
      <c r="A247" s="2" t="s">
        <v>1246</v>
      </c>
      <c r="B247" s="2" t="s">
        <v>249</v>
      </c>
      <c r="C247" s="2" t="s">
        <v>250</v>
      </c>
      <c r="D247" s="2" t="s">
        <v>1149</v>
      </c>
      <c r="E247" s="2" t="s">
        <v>54</v>
      </c>
      <c r="F247" s="2" t="s">
        <v>55</v>
      </c>
      <c r="G247" s="3">
        <v>46202.506331018521</v>
      </c>
      <c r="H247" s="2"/>
      <c r="I247" s="2" t="s">
        <v>88</v>
      </c>
      <c r="J247" s="2">
        <v>2</v>
      </c>
      <c r="K247" s="2" t="s">
        <v>1247</v>
      </c>
      <c r="L247" s="4" t="s">
        <v>1248</v>
      </c>
      <c r="M247" s="2"/>
      <c r="N247" s="2" t="s">
        <v>78</v>
      </c>
      <c r="O247" s="2" t="s">
        <v>78</v>
      </c>
      <c r="P247" s="2"/>
      <c r="Q247" s="2"/>
      <c r="R247" s="2" t="s">
        <v>78</v>
      </c>
      <c r="S247" s="2" t="s">
        <v>82</v>
      </c>
      <c r="T247" s="6">
        <v>0</v>
      </c>
      <c r="U247" s="2" t="s">
        <v>83</v>
      </c>
      <c r="V247" s="2" t="s">
        <v>62</v>
      </c>
    </row>
    <row r="248" spans="1:22" ht="18" customHeight="1" x14ac:dyDescent="0.3">
      <c r="A248" s="2" t="s">
        <v>1249</v>
      </c>
      <c r="B248" s="2" t="s">
        <v>404</v>
      </c>
      <c r="C248" s="2" t="s">
        <v>405</v>
      </c>
      <c r="D248" s="2" t="s">
        <v>1321</v>
      </c>
      <c r="E248" s="2" t="s">
        <v>54</v>
      </c>
      <c r="F248" s="2" t="s">
        <v>55</v>
      </c>
      <c r="G248" s="3">
        <v>46202.531284722223</v>
      </c>
      <c r="H248" s="3">
        <v>46206.706863425927</v>
      </c>
      <c r="I248" s="2" t="s">
        <v>97</v>
      </c>
      <c r="J248" s="2">
        <v>2</v>
      </c>
      <c r="K248" s="2" t="s">
        <v>1250</v>
      </c>
      <c r="L248" s="2"/>
      <c r="M248" s="2"/>
      <c r="N248" s="2" t="s">
        <v>105</v>
      </c>
      <c r="O248" s="2"/>
      <c r="P248" s="2" t="s">
        <v>98</v>
      </c>
      <c r="Q248" s="2" t="s">
        <v>106</v>
      </c>
      <c r="R248" s="2" t="s">
        <v>105</v>
      </c>
      <c r="S248" s="2" t="s">
        <v>60</v>
      </c>
      <c r="T248" s="5">
        <v>1.9256944444444444</v>
      </c>
      <c r="U248" s="2" t="s">
        <v>108</v>
      </c>
      <c r="V248" s="2" t="s">
        <v>62</v>
      </c>
    </row>
    <row r="249" spans="1:22" ht="18" customHeight="1" x14ac:dyDescent="0.3">
      <c r="A249" s="2" t="s">
        <v>1251</v>
      </c>
      <c r="B249" s="2" t="s">
        <v>80</v>
      </c>
      <c r="C249" s="2" t="s">
        <v>655</v>
      </c>
      <c r="D249" s="2" t="s">
        <v>1321</v>
      </c>
      <c r="E249" s="2" t="s">
        <v>54</v>
      </c>
      <c r="F249" s="2" t="s">
        <v>67</v>
      </c>
      <c r="G249" s="3">
        <v>46202.607604166667</v>
      </c>
      <c r="H249" s="3">
        <v>46203.664166666669</v>
      </c>
      <c r="I249" s="2" t="s">
        <v>63</v>
      </c>
      <c r="J249" s="2">
        <v>3</v>
      </c>
      <c r="K249" s="2" t="s">
        <v>656</v>
      </c>
      <c r="L249" s="4" t="s">
        <v>1252</v>
      </c>
      <c r="M249" s="2"/>
      <c r="N249" s="2" t="s">
        <v>58</v>
      </c>
      <c r="O249" s="2"/>
      <c r="P249" s="2" t="s">
        <v>58</v>
      </c>
      <c r="Q249" s="2" t="s">
        <v>59</v>
      </c>
      <c r="R249" s="2" t="s">
        <v>58</v>
      </c>
      <c r="S249" s="2" t="s">
        <v>60</v>
      </c>
      <c r="T249" s="6">
        <v>0.51527777777777772</v>
      </c>
      <c r="U249" s="2" t="s">
        <v>108</v>
      </c>
      <c r="V249" s="2" t="s">
        <v>62</v>
      </c>
    </row>
    <row r="250" spans="1:22" ht="18" customHeight="1" x14ac:dyDescent="0.3">
      <c r="A250" s="2" t="s">
        <v>1253</v>
      </c>
      <c r="B250" s="2" t="s">
        <v>556</v>
      </c>
      <c r="C250" s="2" t="s">
        <v>557</v>
      </c>
      <c r="D250" s="2" t="s">
        <v>1319</v>
      </c>
      <c r="E250" s="2" t="s">
        <v>66</v>
      </c>
      <c r="F250" s="2" t="s">
        <v>67</v>
      </c>
      <c r="G250" s="3">
        <v>46202.614155092589</v>
      </c>
      <c r="H250" s="3">
        <v>46209.392523148148</v>
      </c>
      <c r="I250" s="2" t="s">
        <v>97</v>
      </c>
      <c r="J250" s="2">
        <v>3</v>
      </c>
      <c r="K250" s="2" t="s">
        <v>1254</v>
      </c>
      <c r="L250" s="2"/>
      <c r="M250" s="2"/>
      <c r="N250" s="2" t="s">
        <v>105</v>
      </c>
      <c r="O250" s="2"/>
      <c r="P250" s="2" t="s">
        <v>98</v>
      </c>
      <c r="Q250" s="2" t="s">
        <v>106</v>
      </c>
      <c r="R250" s="2" t="s">
        <v>105</v>
      </c>
      <c r="S250" s="2" t="s">
        <v>60</v>
      </c>
      <c r="T250" s="5">
        <v>1.9659722222222222</v>
      </c>
      <c r="U250" s="2" t="s">
        <v>108</v>
      </c>
      <c r="V250" s="2" t="s">
        <v>62</v>
      </c>
    </row>
    <row r="251" spans="1:22" ht="18" customHeight="1" x14ac:dyDescent="0.3">
      <c r="A251" s="2" t="s">
        <v>1255</v>
      </c>
      <c r="B251" s="2" t="s">
        <v>1256</v>
      </c>
      <c r="C251" s="2" t="s">
        <v>1257</v>
      </c>
      <c r="D251" s="2" t="s">
        <v>1319</v>
      </c>
      <c r="E251" s="2" t="s">
        <v>66</v>
      </c>
      <c r="F251" s="2" t="s">
        <v>67</v>
      </c>
      <c r="G251" s="3">
        <v>46202.630601851852</v>
      </c>
      <c r="H251" s="3">
        <v>46203.395937499998</v>
      </c>
      <c r="I251" s="2" t="s">
        <v>63</v>
      </c>
      <c r="J251" s="2">
        <v>3</v>
      </c>
      <c r="K251" s="2" t="s">
        <v>949</v>
      </c>
      <c r="L251" s="4" t="s">
        <v>183</v>
      </c>
      <c r="M251" s="2"/>
      <c r="N251" s="2" t="s">
        <v>58</v>
      </c>
      <c r="O251" s="2"/>
      <c r="P251" s="2" t="s">
        <v>58</v>
      </c>
      <c r="Q251" s="2" t="s">
        <v>59</v>
      </c>
      <c r="R251" s="2" t="s">
        <v>58</v>
      </c>
      <c r="S251" s="2" t="s">
        <v>60</v>
      </c>
      <c r="T251" s="6">
        <v>0.22430555555555556</v>
      </c>
      <c r="U251" s="2" t="s">
        <v>61</v>
      </c>
      <c r="V251" s="2" t="s">
        <v>62</v>
      </c>
    </row>
    <row r="252" spans="1:22" ht="18" customHeight="1" x14ac:dyDescent="0.3">
      <c r="A252" s="2" t="s">
        <v>1258</v>
      </c>
      <c r="B252" s="2" t="s">
        <v>1256</v>
      </c>
      <c r="C252" s="2" t="s">
        <v>1257</v>
      </c>
      <c r="D252" s="2" t="s">
        <v>1319</v>
      </c>
      <c r="E252" s="2" t="s">
        <v>66</v>
      </c>
      <c r="F252" s="2" t="s">
        <v>67</v>
      </c>
      <c r="G252" s="3">
        <v>46202.631423611114</v>
      </c>
      <c r="H252" s="3">
        <v>46202.652361111112</v>
      </c>
      <c r="I252" s="2" t="s">
        <v>56</v>
      </c>
      <c r="J252" s="2">
        <v>3</v>
      </c>
      <c r="K252" s="2" t="s">
        <v>57</v>
      </c>
      <c r="L252" s="4" t="s">
        <v>740</v>
      </c>
      <c r="M252" s="2"/>
      <c r="N252" s="2" t="s">
        <v>58</v>
      </c>
      <c r="O252" s="2"/>
      <c r="P252" s="2" t="s">
        <v>58</v>
      </c>
      <c r="Q252" s="2" t="s">
        <v>59</v>
      </c>
      <c r="R252" s="2" t="s">
        <v>58</v>
      </c>
      <c r="S252" s="2" t="s">
        <v>60</v>
      </c>
      <c r="T252" s="6">
        <v>2.1527777777777778E-2</v>
      </c>
      <c r="U252" s="2" t="s">
        <v>108</v>
      </c>
      <c r="V252" s="2" t="s">
        <v>62</v>
      </c>
    </row>
    <row r="253" spans="1:22" ht="18" customHeight="1" x14ac:dyDescent="0.3">
      <c r="A253" s="2" t="s">
        <v>1259</v>
      </c>
      <c r="B253" s="2" t="s">
        <v>1260</v>
      </c>
      <c r="C253" s="2" t="s">
        <v>1261</v>
      </c>
      <c r="D253" s="2" t="s">
        <v>1319</v>
      </c>
      <c r="E253" s="2" t="s">
        <v>66</v>
      </c>
      <c r="F253" s="2" t="s">
        <v>67</v>
      </c>
      <c r="G253" s="3">
        <v>46202.632002314815</v>
      </c>
      <c r="H253" s="3">
        <v>46202.650405092594</v>
      </c>
      <c r="I253" s="2" t="s">
        <v>56</v>
      </c>
      <c r="J253" s="2">
        <v>3</v>
      </c>
      <c r="K253" s="2" t="s">
        <v>57</v>
      </c>
      <c r="L253" s="4" t="s">
        <v>740</v>
      </c>
      <c r="M253" s="2"/>
      <c r="N253" s="2" t="s">
        <v>58</v>
      </c>
      <c r="O253" s="2"/>
      <c r="P253" s="2" t="s">
        <v>58</v>
      </c>
      <c r="Q253" s="2" t="s">
        <v>59</v>
      </c>
      <c r="R253" s="2" t="s">
        <v>58</v>
      </c>
      <c r="S253" s="2" t="s">
        <v>60</v>
      </c>
      <c r="T253" s="6">
        <v>1.8749999999999999E-2</v>
      </c>
      <c r="U253" s="2" t="s">
        <v>108</v>
      </c>
      <c r="V253" s="2" t="s">
        <v>62</v>
      </c>
    </row>
    <row r="254" spans="1:22" ht="18" customHeight="1" x14ac:dyDescent="0.3">
      <c r="A254" s="2" t="s">
        <v>1262</v>
      </c>
      <c r="B254" s="2" t="s">
        <v>1260</v>
      </c>
      <c r="C254" s="2" t="s">
        <v>1261</v>
      </c>
      <c r="D254" s="2" t="s">
        <v>1319</v>
      </c>
      <c r="E254" s="2" t="s">
        <v>66</v>
      </c>
      <c r="F254" s="2" t="s">
        <v>67</v>
      </c>
      <c r="G254" s="3">
        <v>46202.632280092592</v>
      </c>
      <c r="H254" s="3">
        <v>46203.394074074073</v>
      </c>
      <c r="I254" s="2" t="s">
        <v>63</v>
      </c>
      <c r="J254" s="2">
        <v>3</v>
      </c>
      <c r="K254" s="2" t="s">
        <v>949</v>
      </c>
      <c r="L254" s="4" t="s">
        <v>183</v>
      </c>
      <c r="M254" s="2"/>
      <c r="N254" s="2" t="s">
        <v>58</v>
      </c>
      <c r="O254" s="2"/>
      <c r="P254" s="2" t="s">
        <v>58</v>
      </c>
      <c r="Q254" s="2" t="s">
        <v>59</v>
      </c>
      <c r="R254" s="2" t="s">
        <v>58</v>
      </c>
      <c r="S254" s="2" t="s">
        <v>60</v>
      </c>
      <c r="T254" s="6">
        <v>0.22013888888888888</v>
      </c>
      <c r="U254" s="2" t="s">
        <v>108</v>
      </c>
      <c r="V254" s="2" t="s">
        <v>62</v>
      </c>
    </row>
    <row r="255" spans="1:22" ht="18" customHeight="1" x14ac:dyDescent="0.3">
      <c r="A255" s="2" t="s">
        <v>1263</v>
      </c>
      <c r="B255" s="2" t="s">
        <v>142</v>
      </c>
      <c r="C255" s="2" t="s">
        <v>143</v>
      </c>
      <c r="D255" s="2" t="s">
        <v>1319</v>
      </c>
      <c r="E255" s="2" t="s">
        <v>66</v>
      </c>
      <c r="F255" s="2" t="s">
        <v>76</v>
      </c>
      <c r="G255" s="3">
        <v>46202.67459490741</v>
      </c>
      <c r="H255" s="3">
        <v>46203.641886574071</v>
      </c>
      <c r="I255" s="2" t="s">
        <v>121</v>
      </c>
      <c r="J255" s="2">
        <v>2</v>
      </c>
      <c r="K255" s="2" t="s">
        <v>140</v>
      </c>
      <c r="L255" s="4" t="s">
        <v>505</v>
      </c>
      <c r="M255" s="2"/>
      <c r="N255" s="2" t="s">
        <v>81</v>
      </c>
      <c r="O255" s="2"/>
      <c r="P255" s="2" t="s">
        <v>81</v>
      </c>
      <c r="Q255" s="2" t="s">
        <v>90</v>
      </c>
      <c r="R255" s="2" t="s">
        <v>81</v>
      </c>
      <c r="S255" s="2" t="s">
        <v>60</v>
      </c>
      <c r="T255" s="6">
        <v>0.40486111111111112</v>
      </c>
      <c r="U255" s="2" t="s">
        <v>108</v>
      </c>
      <c r="V255" s="2" t="s">
        <v>62</v>
      </c>
    </row>
    <row r="256" spans="1:22" ht="18" customHeight="1" x14ac:dyDescent="0.3">
      <c r="A256" s="2" t="s">
        <v>1264</v>
      </c>
      <c r="B256" s="2" t="s">
        <v>167</v>
      </c>
      <c r="C256" s="2" t="s">
        <v>168</v>
      </c>
      <c r="D256" s="2" t="s">
        <v>1321</v>
      </c>
      <c r="E256" s="2" t="s">
        <v>54</v>
      </c>
      <c r="F256" s="2" t="s">
        <v>55</v>
      </c>
      <c r="G256" s="3">
        <v>46202.732291666667</v>
      </c>
      <c r="H256" s="3">
        <v>46203.528923611113</v>
      </c>
      <c r="I256" s="2" t="s">
        <v>70</v>
      </c>
      <c r="J256" s="2">
        <v>3</v>
      </c>
      <c r="K256" s="2" t="s">
        <v>1265</v>
      </c>
      <c r="L256" s="2"/>
      <c r="M256" s="2"/>
      <c r="N256" s="2" t="s">
        <v>71</v>
      </c>
      <c r="O256" s="2"/>
      <c r="P256" s="2" t="s">
        <v>71</v>
      </c>
      <c r="Q256" s="2" t="s">
        <v>104</v>
      </c>
      <c r="R256" s="2" t="s">
        <v>71</v>
      </c>
      <c r="S256" s="2" t="s">
        <v>60</v>
      </c>
      <c r="T256" s="6">
        <v>0.23472222222222222</v>
      </c>
      <c r="U256" s="2" t="s">
        <v>61</v>
      </c>
      <c r="V256" s="2" t="s">
        <v>62</v>
      </c>
    </row>
    <row r="257" spans="1:22" ht="18" customHeight="1" x14ac:dyDescent="0.3">
      <c r="A257" s="2" t="s">
        <v>1266</v>
      </c>
      <c r="B257" s="2" t="s">
        <v>167</v>
      </c>
      <c r="C257" s="2" t="s">
        <v>168</v>
      </c>
      <c r="D257" s="2" t="s">
        <v>1321</v>
      </c>
      <c r="E257" s="2" t="s">
        <v>54</v>
      </c>
      <c r="F257" s="2" t="s">
        <v>55</v>
      </c>
      <c r="G257" s="3">
        <v>46202.741354166668</v>
      </c>
      <c r="H257" s="3">
        <v>46203.528368055559</v>
      </c>
      <c r="I257" s="2" t="s">
        <v>70</v>
      </c>
      <c r="J257" s="2">
        <v>3</v>
      </c>
      <c r="K257" s="2" t="s">
        <v>1267</v>
      </c>
      <c r="L257" s="2"/>
      <c r="M257" s="2"/>
      <c r="N257" s="2" t="s">
        <v>71</v>
      </c>
      <c r="O257" s="2"/>
      <c r="P257" s="2" t="s">
        <v>71</v>
      </c>
      <c r="Q257" s="2" t="s">
        <v>104</v>
      </c>
      <c r="R257" s="2" t="s">
        <v>71</v>
      </c>
      <c r="S257" s="2" t="s">
        <v>60</v>
      </c>
      <c r="T257" s="6">
        <v>0.22500000000000001</v>
      </c>
      <c r="U257" s="2" t="s">
        <v>61</v>
      </c>
      <c r="V257" s="2" t="s">
        <v>62</v>
      </c>
    </row>
    <row r="258" spans="1:22" ht="18" customHeight="1" x14ac:dyDescent="0.3">
      <c r="A258" s="2" t="s">
        <v>1268</v>
      </c>
      <c r="B258" s="2" t="s">
        <v>1269</v>
      </c>
      <c r="C258" s="2" t="s">
        <v>1270</v>
      </c>
      <c r="D258" s="2" t="s">
        <v>1149</v>
      </c>
      <c r="E258" s="2" t="s">
        <v>54</v>
      </c>
      <c r="F258" s="2" t="s">
        <v>76</v>
      </c>
      <c r="G258" s="3">
        <v>46203.359027777777</v>
      </c>
      <c r="H258" s="3">
        <v>46204.324189814812</v>
      </c>
      <c r="I258" s="2" t="s">
        <v>63</v>
      </c>
      <c r="J258" s="2">
        <v>3</v>
      </c>
      <c r="K258" s="2" t="s">
        <v>175</v>
      </c>
      <c r="L258" s="4" t="s">
        <v>389</v>
      </c>
      <c r="M258" s="2"/>
      <c r="N258" s="2" t="s">
        <v>58</v>
      </c>
      <c r="O258" s="2"/>
      <c r="P258" s="2" t="s">
        <v>58</v>
      </c>
      <c r="Q258" s="2" t="s">
        <v>74</v>
      </c>
      <c r="R258" s="2" t="s">
        <v>58</v>
      </c>
      <c r="S258" s="2" t="s">
        <v>60</v>
      </c>
      <c r="T258" s="6">
        <v>0.43263888888888891</v>
      </c>
      <c r="U258" s="2" t="s">
        <v>108</v>
      </c>
      <c r="V258" s="2" t="s">
        <v>62</v>
      </c>
    </row>
    <row r="259" spans="1:22" ht="18" customHeight="1" x14ac:dyDescent="0.3">
      <c r="A259" s="2" t="s">
        <v>1271</v>
      </c>
      <c r="B259" s="2" t="s">
        <v>1272</v>
      </c>
      <c r="C259" s="2" t="s">
        <v>1273</v>
      </c>
      <c r="D259" s="2" t="s">
        <v>1319</v>
      </c>
      <c r="E259" s="2" t="s">
        <v>66</v>
      </c>
      <c r="F259" s="2" t="s">
        <v>76</v>
      </c>
      <c r="G259" s="3">
        <v>46203.359618055554</v>
      </c>
      <c r="H259" s="3">
        <v>46204.325023148151</v>
      </c>
      <c r="I259" s="2" t="s">
        <v>63</v>
      </c>
      <c r="J259" s="2">
        <v>3</v>
      </c>
      <c r="K259" s="2" t="s">
        <v>175</v>
      </c>
      <c r="L259" s="4" t="s">
        <v>389</v>
      </c>
      <c r="M259" s="2"/>
      <c r="N259" s="2" t="s">
        <v>58</v>
      </c>
      <c r="O259" s="2"/>
      <c r="P259" s="2" t="s">
        <v>58</v>
      </c>
      <c r="Q259" s="2" t="s">
        <v>74</v>
      </c>
      <c r="R259" s="2" t="s">
        <v>58</v>
      </c>
      <c r="S259" s="2" t="s">
        <v>60</v>
      </c>
      <c r="T259" s="6">
        <v>0.43263888888888891</v>
      </c>
      <c r="U259" s="2" t="s">
        <v>108</v>
      </c>
      <c r="V259" s="2" t="s">
        <v>62</v>
      </c>
    </row>
    <row r="260" spans="1:22" ht="18" customHeight="1" x14ac:dyDescent="0.3">
      <c r="A260" s="2" t="s">
        <v>1274</v>
      </c>
      <c r="B260" s="2" t="s">
        <v>1269</v>
      </c>
      <c r="C260" s="2" t="s">
        <v>1270</v>
      </c>
      <c r="D260" s="2" t="s">
        <v>1149</v>
      </c>
      <c r="E260" s="2" t="s">
        <v>54</v>
      </c>
      <c r="F260" s="2" t="s">
        <v>76</v>
      </c>
      <c r="G260" s="3">
        <v>46203.359884259262</v>
      </c>
      <c r="H260" s="3">
        <v>46203.4062962963</v>
      </c>
      <c r="I260" s="2" t="s">
        <v>56</v>
      </c>
      <c r="J260" s="2">
        <v>3</v>
      </c>
      <c r="K260" s="2" t="s">
        <v>57</v>
      </c>
      <c r="L260" s="4" t="s">
        <v>911</v>
      </c>
      <c r="M260" s="2"/>
      <c r="N260" s="2" t="s">
        <v>58</v>
      </c>
      <c r="O260" s="2"/>
      <c r="P260" s="2" t="s">
        <v>58</v>
      </c>
      <c r="Q260" s="2" t="s">
        <v>59</v>
      </c>
      <c r="R260" s="2" t="s">
        <v>58</v>
      </c>
      <c r="S260" s="2" t="s">
        <v>60</v>
      </c>
      <c r="T260" s="6">
        <v>4.6527777777777779E-2</v>
      </c>
      <c r="U260" s="2" t="s">
        <v>108</v>
      </c>
      <c r="V260" s="2" t="s">
        <v>62</v>
      </c>
    </row>
    <row r="261" spans="1:22" ht="18" customHeight="1" x14ac:dyDescent="0.3">
      <c r="A261" s="2" t="s">
        <v>1275</v>
      </c>
      <c r="B261" s="2" t="s">
        <v>1272</v>
      </c>
      <c r="C261" s="2" t="s">
        <v>1273</v>
      </c>
      <c r="D261" s="2" t="s">
        <v>1319</v>
      </c>
      <c r="E261" s="2" t="s">
        <v>66</v>
      </c>
      <c r="F261" s="2" t="s">
        <v>76</v>
      </c>
      <c r="G261" s="3">
        <v>46203.360173611109</v>
      </c>
      <c r="H261" s="3">
        <v>46203.403715277775</v>
      </c>
      <c r="I261" s="2" t="s">
        <v>56</v>
      </c>
      <c r="J261" s="2">
        <v>3</v>
      </c>
      <c r="K261" s="2" t="s">
        <v>57</v>
      </c>
      <c r="L261" s="4" t="s">
        <v>911</v>
      </c>
      <c r="M261" s="2"/>
      <c r="N261" s="2" t="s">
        <v>58</v>
      </c>
      <c r="O261" s="2"/>
      <c r="P261" s="2" t="s">
        <v>58</v>
      </c>
      <c r="Q261" s="2" t="s">
        <v>59</v>
      </c>
      <c r="R261" s="2" t="s">
        <v>58</v>
      </c>
      <c r="S261" s="2" t="s">
        <v>60</v>
      </c>
      <c r="T261" s="6">
        <v>4.3749999999999997E-2</v>
      </c>
      <c r="U261" s="2" t="s">
        <v>108</v>
      </c>
      <c r="V261" s="2" t="s">
        <v>62</v>
      </c>
    </row>
    <row r="262" spans="1:22" ht="18" customHeight="1" x14ac:dyDescent="0.3">
      <c r="A262" s="2" t="s">
        <v>1276</v>
      </c>
      <c r="B262" s="2" t="s">
        <v>794</v>
      </c>
      <c r="C262" s="2" t="s">
        <v>795</v>
      </c>
      <c r="D262" s="2" t="s">
        <v>1149</v>
      </c>
      <c r="E262" s="2" t="s">
        <v>54</v>
      </c>
      <c r="F262" s="2" t="s">
        <v>76</v>
      </c>
      <c r="G262" s="3">
        <v>46203.362303240741</v>
      </c>
      <c r="H262" s="3">
        <v>46206.539826388886</v>
      </c>
      <c r="I262" s="2" t="s">
        <v>383</v>
      </c>
      <c r="J262" s="2">
        <v>3</v>
      </c>
      <c r="K262" s="2" t="s">
        <v>1277</v>
      </c>
      <c r="L262" s="2"/>
      <c r="M262" s="2"/>
      <c r="N262" s="2" t="s">
        <v>384</v>
      </c>
      <c r="O262" s="2"/>
      <c r="P262" s="2" t="s">
        <v>385</v>
      </c>
      <c r="Q262" s="2" t="s">
        <v>386</v>
      </c>
      <c r="R262" s="2" t="s">
        <v>384</v>
      </c>
      <c r="S262" s="2" t="s">
        <v>60</v>
      </c>
      <c r="T262" s="5">
        <v>1.4902777777777778</v>
      </c>
      <c r="U262" s="2" t="s">
        <v>108</v>
      </c>
      <c r="V262" s="2" t="s">
        <v>62</v>
      </c>
    </row>
    <row r="263" spans="1:22" ht="18" customHeight="1" x14ac:dyDescent="0.3">
      <c r="A263" s="2" t="s">
        <v>1278</v>
      </c>
      <c r="B263" s="2" t="s">
        <v>794</v>
      </c>
      <c r="C263" s="2" t="s">
        <v>795</v>
      </c>
      <c r="D263" s="2" t="s">
        <v>1149</v>
      </c>
      <c r="E263" s="2" t="s">
        <v>54</v>
      </c>
      <c r="F263" s="2" t="s">
        <v>76</v>
      </c>
      <c r="G263" s="3">
        <v>46203.36309027778</v>
      </c>
      <c r="H263" s="3">
        <v>46206.540902777779</v>
      </c>
      <c r="I263" s="2" t="s">
        <v>383</v>
      </c>
      <c r="J263" s="2">
        <v>3</v>
      </c>
      <c r="K263" s="2" t="s">
        <v>1279</v>
      </c>
      <c r="L263" s="2"/>
      <c r="M263" s="2"/>
      <c r="N263" s="2" t="s">
        <v>384</v>
      </c>
      <c r="O263" s="2"/>
      <c r="P263" s="2" t="s">
        <v>385</v>
      </c>
      <c r="Q263" s="2" t="s">
        <v>386</v>
      </c>
      <c r="R263" s="2" t="s">
        <v>384</v>
      </c>
      <c r="S263" s="2" t="s">
        <v>60</v>
      </c>
      <c r="T263" s="5">
        <v>1.4909722222222221</v>
      </c>
      <c r="U263" s="2" t="s">
        <v>108</v>
      </c>
      <c r="V263" s="2" t="s">
        <v>62</v>
      </c>
    </row>
    <row r="264" spans="1:22" ht="18" customHeight="1" x14ac:dyDescent="0.3">
      <c r="A264" s="2" t="s">
        <v>1280</v>
      </c>
      <c r="B264" s="2" t="s">
        <v>794</v>
      </c>
      <c r="C264" s="2" t="s">
        <v>795</v>
      </c>
      <c r="D264" s="2" t="s">
        <v>1149</v>
      </c>
      <c r="E264" s="2" t="s">
        <v>54</v>
      </c>
      <c r="F264" s="2" t="s">
        <v>76</v>
      </c>
      <c r="G264" s="3">
        <v>46203.36377314815</v>
      </c>
      <c r="H264" s="3">
        <v>46206.541539351849</v>
      </c>
      <c r="I264" s="2" t="s">
        <v>383</v>
      </c>
      <c r="J264" s="2">
        <v>3</v>
      </c>
      <c r="K264" s="2" t="s">
        <v>1281</v>
      </c>
      <c r="L264" s="2"/>
      <c r="M264" s="2"/>
      <c r="N264" s="2" t="s">
        <v>384</v>
      </c>
      <c r="O264" s="2"/>
      <c r="P264" s="2" t="s">
        <v>385</v>
      </c>
      <c r="Q264" s="2" t="s">
        <v>386</v>
      </c>
      <c r="R264" s="2" t="s">
        <v>384</v>
      </c>
      <c r="S264" s="2" t="s">
        <v>60</v>
      </c>
      <c r="T264" s="5">
        <v>1.4902777777777778</v>
      </c>
      <c r="U264" s="2" t="s">
        <v>108</v>
      </c>
      <c r="V264" s="2" t="s">
        <v>62</v>
      </c>
    </row>
    <row r="265" spans="1:22" ht="18" customHeight="1" x14ac:dyDescent="0.3">
      <c r="A265" s="2" t="s">
        <v>1282</v>
      </c>
      <c r="B265" s="2" t="s">
        <v>1283</v>
      </c>
      <c r="C265" s="2" t="s">
        <v>1284</v>
      </c>
      <c r="D265" s="2" t="s">
        <v>1149</v>
      </c>
      <c r="E265" s="2" t="s">
        <v>54</v>
      </c>
      <c r="F265" s="2" t="s">
        <v>55</v>
      </c>
      <c r="G265" s="3">
        <v>46203.585486111115</v>
      </c>
      <c r="H265" s="2"/>
      <c r="I265" s="2" t="s">
        <v>154</v>
      </c>
      <c r="J265" s="2">
        <v>3</v>
      </c>
      <c r="K265" s="2" t="s">
        <v>155</v>
      </c>
      <c r="L265" s="2"/>
      <c r="M265" s="2"/>
      <c r="N265" s="2" t="s">
        <v>81</v>
      </c>
      <c r="O265" s="2" t="s">
        <v>156</v>
      </c>
      <c r="P265" s="2"/>
      <c r="Q265" s="2"/>
      <c r="R265" s="2" t="s">
        <v>81</v>
      </c>
      <c r="S265" s="2" t="s">
        <v>92</v>
      </c>
      <c r="T265" s="6">
        <v>0</v>
      </c>
      <c r="U265" s="2" t="s">
        <v>127</v>
      </c>
      <c r="V265" s="2" t="s">
        <v>62</v>
      </c>
    </row>
    <row r="266" spans="1:22" ht="18" customHeight="1" x14ac:dyDescent="0.3">
      <c r="A266" s="2" t="s">
        <v>1285</v>
      </c>
      <c r="B266" s="2" t="s">
        <v>1286</v>
      </c>
      <c r="C266" s="2" t="s">
        <v>1287</v>
      </c>
      <c r="D266" s="2" t="s">
        <v>1319</v>
      </c>
      <c r="E266" s="2" t="s">
        <v>66</v>
      </c>
      <c r="F266" s="2" t="s">
        <v>76</v>
      </c>
      <c r="G266" s="3">
        <v>46203.630972222221</v>
      </c>
      <c r="H266" s="3">
        <v>46204.327141203707</v>
      </c>
      <c r="I266" s="2" t="s">
        <v>56</v>
      </c>
      <c r="J266" s="2">
        <v>3</v>
      </c>
      <c r="K266" s="2" t="s">
        <v>57</v>
      </c>
      <c r="L266" s="4" t="s">
        <v>192</v>
      </c>
      <c r="M266" s="2"/>
      <c r="N266" s="2" t="s">
        <v>58</v>
      </c>
      <c r="O266" s="2"/>
      <c r="P266" s="2" t="s">
        <v>58</v>
      </c>
      <c r="Q266" s="2" t="s">
        <v>74</v>
      </c>
      <c r="R266" s="2" t="s">
        <v>58</v>
      </c>
      <c r="S266" s="2" t="s">
        <v>60</v>
      </c>
      <c r="T266" s="6">
        <v>0.14027777777777778</v>
      </c>
      <c r="U266" s="2" t="s">
        <v>108</v>
      </c>
      <c r="V266" s="2" t="s">
        <v>62</v>
      </c>
    </row>
    <row r="267" spans="1:22" ht="18" customHeight="1" x14ac:dyDescent="0.3">
      <c r="A267" s="2" t="s">
        <v>1288</v>
      </c>
      <c r="B267" s="2" t="s">
        <v>1286</v>
      </c>
      <c r="C267" s="2" t="s">
        <v>1287</v>
      </c>
      <c r="D267" s="2" t="s">
        <v>1319</v>
      </c>
      <c r="E267" s="2" t="s">
        <v>66</v>
      </c>
      <c r="F267" s="2" t="s">
        <v>76</v>
      </c>
      <c r="G267" s="3">
        <v>46203.632291666669</v>
      </c>
      <c r="H267" s="3">
        <v>46204.442060185182</v>
      </c>
      <c r="I267" s="2" t="s">
        <v>63</v>
      </c>
      <c r="J267" s="2">
        <v>3</v>
      </c>
      <c r="K267" s="2" t="s">
        <v>1289</v>
      </c>
      <c r="L267" s="4" t="s">
        <v>1290</v>
      </c>
      <c r="M267" s="2"/>
      <c r="N267" s="2" t="s">
        <v>58</v>
      </c>
      <c r="O267" s="2"/>
      <c r="P267" s="2" t="s">
        <v>58</v>
      </c>
      <c r="Q267" s="2" t="s">
        <v>74</v>
      </c>
      <c r="R267" s="2" t="s">
        <v>58</v>
      </c>
      <c r="S267" s="2" t="s">
        <v>60</v>
      </c>
      <c r="T267" s="6">
        <v>0.26874999999999999</v>
      </c>
      <c r="U267" s="2" t="s">
        <v>108</v>
      </c>
      <c r="V267" s="2" t="s">
        <v>62</v>
      </c>
    </row>
    <row r="268" spans="1:22" ht="18" customHeight="1" x14ac:dyDescent="0.3">
      <c r="A268" s="2" t="s">
        <v>1291</v>
      </c>
      <c r="B268" s="2" t="s">
        <v>1292</v>
      </c>
      <c r="C268" s="2" t="s">
        <v>1293</v>
      </c>
      <c r="D268" s="2" t="s">
        <v>1319</v>
      </c>
      <c r="E268" s="2" t="s">
        <v>66</v>
      </c>
      <c r="F268" s="2" t="s">
        <v>76</v>
      </c>
      <c r="G268" s="3">
        <v>46203.632719907408</v>
      </c>
      <c r="H268" s="3">
        <v>46204.329097222224</v>
      </c>
      <c r="I268" s="2" t="s">
        <v>56</v>
      </c>
      <c r="J268" s="2">
        <v>3</v>
      </c>
      <c r="K268" s="2" t="s">
        <v>57</v>
      </c>
      <c r="L268" s="4" t="s">
        <v>192</v>
      </c>
      <c r="M268" s="2"/>
      <c r="N268" s="2" t="s">
        <v>58</v>
      </c>
      <c r="O268" s="2"/>
      <c r="P268" s="2" t="s">
        <v>58</v>
      </c>
      <c r="Q268" s="2" t="s">
        <v>74</v>
      </c>
      <c r="R268" s="2" t="s">
        <v>58</v>
      </c>
      <c r="S268" s="2" t="s">
        <v>60</v>
      </c>
      <c r="T268" s="6">
        <v>0.13819444444444445</v>
      </c>
      <c r="U268" s="2" t="s">
        <v>108</v>
      </c>
      <c r="V268" s="2" t="s">
        <v>62</v>
      </c>
    </row>
    <row r="269" spans="1:22" ht="18" customHeight="1" x14ac:dyDescent="0.3">
      <c r="A269" s="2" t="s">
        <v>1294</v>
      </c>
      <c r="B269" s="2" t="s">
        <v>1292</v>
      </c>
      <c r="C269" s="2" t="s">
        <v>1293</v>
      </c>
      <c r="D269" s="2" t="s">
        <v>1319</v>
      </c>
      <c r="E269" s="2" t="s">
        <v>66</v>
      </c>
      <c r="F269" s="2" t="s">
        <v>76</v>
      </c>
      <c r="G269" s="3">
        <v>46203.633136574077</v>
      </c>
      <c r="H269" s="3">
        <v>46204.452233796299</v>
      </c>
      <c r="I269" s="2" t="s">
        <v>63</v>
      </c>
      <c r="J269" s="2">
        <v>3</v>
      </c>
      <c r="K269" s="2" t="s">
        <v>1295</v>
      </c>
      <c r="L269" s="4" t="s">
        <v>1296</v>
      </c>
      <c r="M269" s="2"/>
      <c r="N269" s="2" t="s">
        <v>58</v>
      </c>
      <c r="O269" s="2"/>
      <c r="P269" s="2" t="s">
        <v>58</v>
      </c>
      <c r="Q269" s="2" t="s">
        <v>59</v>
      </c>
      <c r="R269" s="2" t="s">
        <v>58</v>
      </c>
      <c r="S269" s="2" t="s">
        <v>60</v>
      </c>
      <c r="T269" s="6">
        <v>0.27777777777777779</v>
      </c>
      <c r="U269" s="2" t="s">
        <v>108</v>
      </c>
      <c r="V269" s="2" t="s">
        <v>62</v>
      </c>
    </row>
    <row r="270" spans="1:22" ht="18" customHeight="1" x14ac:dyDescent="0.3">
      <c r="A270" s="2" t="s">
        <v>1297</v>
      </c>
      <c r="B270" s="2" t="s">
        <v>1298</v>
      </c>
      <c r="C270" s="2" t="s">
        <v>1299</v>
      </c>
      <c r="D270" s="2" t="s">
        <v>1319</v>
      </c>
      <c r="E270" s="2" t="s">
        <v>66</v>
      </c>
      <c r="F270" s="2" t="s">
        <v>76</v>
      </c>
      <c r="G270" s="3">
        <v>46203.633796296293</v>
      </c>
      <c r="H270" s="3">
        <v>46204.333599537036</v>
      </c>
      <c r="I270" s="2" t="s">
        <v>56</v>
      </c>
      <c r="J270" s="2">
        <v>3</v>
      </c>
      <c r="K270" s="2" t="s">
        <v>57</v>
      </c>
      <c r="L270" s="4" t="s">
        <v>192</v>
      </c>
      <c r="M270" s="2"/>
      <c r="N270" s="2" t="s">
        <v>58</v>
      </c>
      <c r="O270" s="2"/>
      <c r="P270" s="2" t="s">
        <v>58</v>
      </c>
      <c r="Q270" s="2" t="s">
        <v>74</v>
      </c>
      <c r="R270" s="2" t="s">
        <v>58</v>
      </c>
      <c r="S270" s="2" t="s">
        <v>60</v>
      </c>
      <c r="T270" s="6">
        <v>0.13750000000000001</v>
      </c>
      <c r="U270" s="2" t="s">
        <v>108</v>
      </c>
      <c r="V270" s="2" t="s">
        <v>62</v>
      </c>
    </row>
    <row r="271" spans="1:22" ht="18" customHeight="1" x14ac:dyDescent="0.3">
      <c r="A271" s="2" t="s">
        <v>1300</v>
      </c>
      <c r="B271" s="2" t="s">
        <v>1298</v>
      </c>
      <c r="C271" s="2" t="s">
        <v>1299</v>
      </c>
      <c r="D271" s="2" t="s">
        <v>1319</v>
      </c>
      <c r="E271" s="2" t="s">
        <v>66</v>
      </c>
      <c r="F271" s="2" t="s">
        <v>76</v>
      </c>
      <c r="G271" s="3">
        <v>46203.634062500001</v>
      </c>
      <c r="H271" s="3">
        <v>46204.555254629631</v>
      </c>
      <c r="I271" s="2" t="s">
        <v>63</v>
      </c>
      <c r="J271" s="2">
        <v>3</v>
      </c>
      <c r="K271" s="2" t="s">
        <v>1289</v>
      </c>
      <c r="L271" s="4" t="s">
        <v>1176</v>
      </c>
      <c r="M271" s="2"/>
      <c r="N271" s="2" t="s">
        <v>58</v>
      </c>
      <c r="O271" s="2"/>
      <c r="P271" s="2" t="s">
        <v>58</v>
      </c>
      <c r="Q271" s="2" t="s">
        <v>59</v>
      </c>
      <c r="R271" s="2" t="s">
        <v>58</v>
      </c>
      <c r="S271" s="2" t="s">
        <v>60</v>
      </c>
      <c r="T271" s="6">
        <v>0.37986111111111109</v>
      </c>
      <c r="U271" s="2" t="s">
        <v>108</v>
      </c>
      <c r="V271" s="2" t="s">
        <v>62</v>
      </c>
    </row>
    <row r="272" spans="1:22" ht="18" customHeight="1" x14ac:dyDescent="0.3">
      <c r="A272" s="2" t="s">
        <v>1301</v>
      </c>
      <c r="B272" s="2" t="s">
        <v>1302</v>
      </c>
      <c r="C272" s="2" t="s">
        <v>1303</v>
      </c>
      <c r="D272" s="2" t="s">
        <v>1319</v>
      </c>
      <c r="E272" s="2" t="s">
        <v>66</v>
      </c>
      <c r="F272" s="2" t="s">
        <v>76</v>
      </c>
      <c r="G272" s="3">
        <v>46203.634791666664</v>
      </c>
      <c r="H272" s="3">
        <v>46204.335706018515</v>
      </c>
      <c r="I272" s="2" t="s">
        <v>56</v>
      </c>
      <c r="J272" s="2">
        <v>3</v>
      </c>
      <c r="K272" s="2" t="s">
        <v>57</v>
      </c>
      <c r="L272" s="4" t="s">
        <v>192</v>
      </c>
      <c r="M272" s="2"/>
      <c r="N272" s="2" t="s">
        <v>58</v>
      </c>
      <c r="O272" s="2"/>
      <c r="P272" s="2" t="s">
        <v>58</v>
      </c>
      <c r="Q272" s="2" t="s">
        <v>74</v>
      </c>
      <c r="R272" s="2" t="s">
        <v>58</v>
      </c>
      <c r="S272" s="2" t="s">
        <v>60</v>
      </c>
      <c r="T272" s="6">
        <v>0.1388888888888889</v>
      </c>
      <c r="U272" s="2" t="s">
        <v>108</v>
      </c>
      <c r="V272" s="2" t="s">
        <v>62</v>
      </c>
    </row>
    <row r="273" spans="1:22" ht="18" customHeight="1" x14ac:dyDescent="0.3">
      <c r="A273" s="2" t="s">
        <v>1304</v>
      </c>
      <c r="B273" s="2" t="s">
        <v>1302</v>
      </c>
      <c r="C273" s="2" t="s">
        <v>1303</v>
      </c>
      <c r="D273" s="2" t="s">
        <v>1319</v>
      </c>
      <c r="E273" s="2" t="s">
        <v>66</v>
      </c>
      <c r="F273" s="2" t="s">
        <v>76</v>
      </c>
      <c r="G273" s="3">
        <v>46203.635057870371</v>
      </c>
      <c r="H273" s="3">
        <v>46204.554039351853</v>
      </c>
      <c r="I273" s="2" t="s">
        <v>63</v>
      </c>
      <c r="J273" s="2">
        <v>3</v>
      </c>
      <c r="K273" s="2" t="s">
        <v>1289</v>
      </c>
      <c r="L273" s="4" t="s">
        <v>1176</v>
      </c>
      <c r="M273" s="2"/>
      <c r="N273" s="2" t="s">
        <v>58</v>
      </c>
      <c r="O273" s="2"/>
      <c r="P273" s="2" t="s">
        <v>58</v>
      </c>
      <c r="Q273" s="2" t="s">
        <v>59</v>
      </c>
      <c r="R273" s="2" t="s">
        <v>58</v>
      </c>
      <c r="S273" s="2" t="s">
        <v>60</v>
      </c>
      <c r="T273" s="6">
        <v>0.37777777777777777</v>
      </c>
      <c r="U273" s="2" t="s">
        <v>108</v>
      </c>
      <c r="V273" s="2" t="s">
        <v>62</v>
      </c>
    </row>
    <row r="274" spans="1:22" ht="18" customHeight="1" x14ac:dyDescent="0.3">
      <c r="A274" s="2" t="s">
        <v>1305</v>
      </c>
      <c r="B274" s="2" t="s">
        <v>1306</v>
      </c>
      <c r="C274" s="2" t="s">
        <v>1307</v>
      </c>
      <c r="D274" s="2" t="s">
        <v>1319</v>
      </c>
      <c r="E274" s="2" t="s">
        <v>66</v>
      </c>
      <c r="F274" s="2" t="s">
        <v>76</v>
      </c>
      <c r="G274" s="3">
        <v>46203.635601851849</v>
      </c>
      <c r="H274" s="3">
        <v>46204.337800925925</v>
      </c>
      <c r="I274" s="2" t="s">
        <v>56</v>
      </c>
      <c r="J274" s="2">
        <v>3</v>
      </c>
      <c r="K274" s="2" t="s">
        <v>57</v>
      </c>
      <c r="L274" s="4" t="s">
        <v>192</v>
      </c>
      <c r="M274" s="2"/>
      <c r="N274" s="2" t="s">
        <v>58</v>
      </c>
      <c r="O274" s="2"/>
      <c r="P274" s="2" t="s">
        <v>58</v>
      </c>
      <c r="Q274" s="2" t="s">
        <v>74</v>
      </c>
      <c r="R274" s="2" t="s">
        <v>58</v>
      </c>
      <c r="S274" s="2" t="s">
        <v>60</v>
      </c>
      <c r="T274" s="6">
        <v>0.14027777777777778</v>
      </c>
      <c r="U274" s="2" t="s">
        <v>108</v>
      </c>
      <c r="V274" s="2" t="s">
        <v>62</v>
      </c>
    </row>
    <row r="275" spans="1:22" ht="18" customHeight="1" x14ac:dyDescent="0.3">
      <c r="A275" s="2" t="s">
        <v>1308</v>
      </c>
      <c r="B275" s="2" t="s">
        <v>1306</v>
      </c>
      <c r="C275" s="2" t="s">
        <v>1307</v>
      </c>
      <c r="D275" s="2" t="s">
        <v>1319</v>
      </c>
      <c r="E275" s="2" t="s">
        <v>66</v>
      </c>
      <c r="F275" s="2" t="s">
        <v>76</v>
      </c>
      <c r="G275" s="3">
        <v>46203.635925925926</v>
      </c>
      <c r="H275" s="3">
        <v>46204.553148148145</v>
      </c>
      <c r="I275" s="2" t="s">
        <v>63</v>
      </c>
      <c r="J275" s="2">
        <v>3</v>
      </c>
      <c r="K275" s="2" t="s">
        <v>1289</v>
      </c>
      <c r="L275" s="4" t="s">
        <v>1176</v>
      </c>
      <c r="M275" s="2"/>
      <c r="N275" s="2" t="s">
        <v>58</v>
      </c>
      <c r="O275" s="2"/>
      <c r="P275" s="2" t="s">
        <v>58</v>
      </c>
      <c r="Q275" s="2" t="s">
        <v>59</v>
      </c>
      <c r="R275" s="2" t="s">
        <v>58</v>
      </c>
      <c r="S275" s="2" t="s">
        <v>60</v>
      </c>
      <c r="T275" s="6">
        <v>0.37569444444444444</v>
      </c>
      <c r="U275" s="2" t="s">
        <v>108</v>
      </c>
      <c r="V275" s="2" t="s">
        <v>62</v>
      </c>
    </row>
    <row r="276" spans="1:22" ht="18" customHeight="1" x14ac:dyDescent="0.3">
      <c r="A276" s="2" t="s">
        <v>1309</v>
      </c>
      <c r="B276" s="2" t="s">
        <v>1310</v>
      </c>
      <c r="C276" s="2" t="s">
        <v>1311</v>
      </c>
      <c r="D276" s="2" t="s">
        <v>1319</v>
      </c>
      <c r="E276" s="2" t="s">
        <v>66</v>
      </c>
      <c r="F276" s="2" t="s">
        <v>76</v>
      </c>
      <c r="G276" s="3">
        <v>46203.638402777775</v>
      </c>
      <c r="H276" s="3">
        <v>46204.331435185188</v>
      </c>
      <c r="I276" s="2" t="s">
        <v>56</v>
      </c>
      <c r="J276" s="2">
        <v>3</v>
      </c>
      <c r="K276" s="2" t="s">
        <v>57</v>
      </c>
      <c r="L276" s="4" t="s">
        <v>192</v>
      </c>
      <c r="M276" s="2"/>
      <c r="N276" s="2" t="s">
        <v>58</v>
      </c>
      <c r="O276" s="2"/>
      <c r="P276" s="2" t="s">
        <v>58</v>
      </c>
      <c r="Q276" s="2" t="s">
        <v>74</v>
      </c>
      <c r="R276" s="2" t="s">
        <v>58</v>
      </c>
      <c r="S276" s="2" t="s">
        <v>60</v>
      </c>
      <c r="T276" s="6">
        <v>0.13263888888888889</v>
      </c>
      <c r="U276" s="2" t="s">
        <v>108</v>
      </c>
      <c r="V276" s="2" t="s">
        <v>62</v>
      </c>
    </row>
    <row r="277" spans="1:22" ht="18" customHeight="1" x14ac:dyDescent="0.3">
      <c r="A277" s="2" t="s">
        <v>1312</v>
      </c>
      <c r="B277" s="2" t="s">
        <v>1310</v>
      </c>
      <c r="C277" s="2" t="s">
        <v>1311</v>
      </c>
      <c r="D277" s="2" t="s">
        <v>1319</v>
      </c>
      <c r="E277" s="2" t="s">
        <v>66</v>
      </c>
      <c r="F277" s="2" t="s">
        <v>76</v>
      </c>
      <c r="G277" s="3">
        <v>46203.638761574075</v>
      </c>
      <c r="H277" s="3">
        <v>46204.55228009259</v>
      </c>
      <c r="I277" s="2" t="s">
        <v>63</v>
      </c>
      <c r="J277" s="2">
        <v>3</v>
      </c>
      <c r="K277" s="2" t="s">
        <v>1289</v>
      </c>
      <c r="L277" s="4" t="s">
        <v>1176</v>
      </c>
      <c r="M277" s="2"/>
      <c r="N277" s="2" t="s">
        <v>58</v>
      </c>
      <c r="O277" s="2"/>
      <c r="P277" s="2" t="s">
        <v>58</v>
      </c>
      <c r="Q277" s="2" t="s">
        <v>59</v>
      </c>
      <c r="R277" s="2" t="s">
        <v>58</v>
      </c>
      <c r="S277" s="2" t="s">
        <v>60</v>
      </c>
      <c r="T277" s="6">
        <v>0.37222222222222223</v>
      </c>
      <c r="U277" s="2" t="s">
        <v>108</v>
      </c>
      <c r="V277" s="2" t="s">
        <v>62</v>
      </c>
    </row>
    <row r="278" spans="1:22" ht="18" customHeight="1" x14ac:dyDescent="0.3">
      <c r="A278" s="2" t="s">
        <v>1313</v>
      </c>
      <c r="B278" s="2" t="s">
        <v>1314</v>
      </c>
      <c r="C278" s="2" t="s">
        <v>1315</v>
      </c>
      <c r="D278" s="2" t="s">
        <v>1320</v>
      </c>
      <c r="E278" s="2" t="s">
        <v>75</v>
      </c>
      <c r="F278" s="2" t="s">
        <v>55</v>
      </c>
      <c r="G278" s="3">
        <v>46203.674467592595</v>
      </c>
      <c r="H278" s="3">
        <v>46204.634884259256</v>
      </c>
      <c r="I278" s="2" t="s">
        <v>99</v>
      </c>
      <c r="J278" s="2">
        <v>2</v>
      </c>
      <c r="K278" s="2" t="s">
        <v>1316</v>
      </c>
      <c r="L278" s="4" t="s">
        <v>1317</v>
      </c>
      <c r="M278" s="2"/>
      <c r="N278" s="2" t="s">
        <v>78</v>
      </c>
      <c r="O278" s="2"/>
      <c r="P278" s="2" t="s">
        <v>78</v>
      </c>
      <c r="Q278" s="2" t="s">
        <v>103</v>
      </c>
      <c r="R278" s="2" t="s">
        <v>78</v>
      </c>
      <c r="S278" s="2" t="s">
        <v>60</v>
      </c>
      <c r="T278" s="6">
        <v>0.39791666666666664</v>
      </c>
      <c r="U278" s="2" t="s">
        <v>108</v>
      </c>
      <c r="V278" s="2" t="s">
        <v>62</v>
      </c>
    </row>
  </sheetData>
  <autoFilter ref="A1:V278" xr:uid="{4C459688-7403-4585-89D0-B6674706EA62}"/>
  <conditionalFormatting sqref="A1:A1048576">
    <cfRule type="duplicateValues" dxfId="1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2DD59-E780-4202-BD2F-884CBB1FB607}">
  <dimension ref="A1:T325"/>
  <sheetViews>
    <sheetView workbookViewId="0">
      <selection activeCell="F11" sqref="F11"/>
    </sheetView>
  </sheetViews>
  <sheetFormatPr baseColWidth="10" defaultRowHeight="14.4" x14ac:dyDescent="0.3"/>
  <cols>
    <col min="1" max="1" width="11.88671875" bestFit="1" customWidth="1"/>
    <col min="2" max="2" width="27.33203125" bestFit="1" customWidth="1"/>
    <col min="3" max="3" width="13.5546875" bestFit="1" customWidth="1"/>
    <col min="4" max="4" width="15.5546875" bestFit="1" customWidth="1"/>
    <col min="5" max="5" width="17.109375" bestFit="1" customWidth="1"/>
    <col min="6" max="6" width="35.21875" bestFit="1" customWidth="1"/>
    <col min="7" max="7" width="7.44140625" bestFit="1" customWidth="1"/>
    <col min="8" max="8" width="255.77734375" bestFit="1" customWidth="1"/>
    <col min="9" max="9" width="48.77734375" bestFit="1" customWidth="1"/>
    <col min="10" max="10" width="25.109375" bestFit="1" customWidth="1"/>
    <col min="11" max="11" width="23.21875" bestFit="1" customWidth="1"/>
    <col min="12" max="13" width="26" bestFit="1" customWidth="1"/>
    <col min="14" max="14" width="27.6640625" bestFit="1" customWidth="1"/>
    <col min="15" max="15" width="22.21875" bestFit="1" customWidth="1"/>
    <col min="16" max="16" width="26" bestFit="1" customWidth="1"/>
    <col min="17" max="17" width="11.109375" bestFit="1" customWidth="1"/>
    <col min="18" max="18" width="22.77734375" bestFit="1" customWidth="1"/>
    <col min="19" max="19" width="11.33203125" bestFit="1" customWidth="1"/>
    <col min="20" max="20" width="36.6640625" bestFit="1" customWidth="1"/>
  </cols>
  <sheetData>
    <row r="1" spans="1:20" ht="22.8" customHeight="1" x14ac:dyDescent="0.3">
      <c r="A1" s="1" t="s">
        <v>33</v>
      </c>
      <c r="B1" s="1" t="s">
        <v>34</v>
      </c>
      <c r="C1" s="1" t="s">
        <v>35</v>
      </c>
      <c r="D1" s="1" t="s">
        <v>39</v>
      </c>
      <c r="E1" s="1" t="s">
        <v>40</v>
      </c>
      <c r="F1" s="1" t="s">
        <v>41</v>
      </c>
      <c r="G1" s="1" t="s">
        <v>42</v>
      </c>
      <c r="H1" s="1" t="s">
        <v>43</v>
      </c>
      <c r="I1" s="1" t="s">
        <v>44</v>
      </c>
      <c r="J1" s="1" t="s">
        <v>45</v>
      </c>
      <c r="K1" s="1" t="s">
        <v>38</v>
      </c>
      <c r="L1" s="1" t="s">
        <v>46</v>
      </c>
      <c r="M1" s="1" t="s">
        <v>47</v>
      </c>
      <c r="N1" s="1" t="s">
        <v>48</v>
      </c>
      <c r="O1" s="1" t="s">
        <v>49</v>
      </c>
      <c r="P1" s="1" t="s">
        <v>46</v>
      </c>
      <c r="Q1" s="1" t="s">
        <v>50</v>
      </c>
      <c r="R1" s="1" t="s">
        <v>51</v>
      </c>
      <c r="S1" s="1" t="s">
        <v>52</v>
      </c>
      <c r="T1" s="1" t="s">
        <v>53</v>
      </c>
    </row>
    <row r="2" spans="1:20" ht="22.8" customHeight="1" x14ac:dyDescent="0.3">
      <c r="A2" s="2" t="s">
        <v>1323</v>
      </c>
      <c r="B2" s="2" t="s">
        <v>1324</v>
      </c>
      <c r="C2" s="2" t="s">
        <v>1325</v>
      </c>
      <c r="D2" s="3">
        <v>46041.694293981483</v>
      </c>
      <c r="E2" s="3">
        <v>46178.503831018519</v>
      </c>
      <c r="F2" s="2" t="s">
        <v>109</v>
      </c>
      <c r="G2" s="2">
        <v>3</v>
      </c>
      <c r="H2" s="4" t="s">
        <v>1326</v>
      </c>
      <c r="I2" s="4" t="s">
        <v>1327</v>
      </c>
      <c r="J2" s="2"/>
      <c r="K2" s="2" t="s">
        <v>55</v>
      </c>
      <c r="L2" s="2" t="s">
        <v>110</v>
      </c>
      <c r="M2" s="2"/>
      <c r="N2" s="2" t="s">
        <v>119</v>
      </c>
      <c r="O2" s="2" t="s">
        <v>174</v>
      </c>
      <c r="P2" s="2" t="s">
        <v>110</v>
      </c>
      <c r="Q2" s="2" t="s">
        <v>60</v>
      </c>
      <c r="R2" s="5">
        <v>27.488194444444446</v>
      </c>
      <c r="S2" s="2" t="s">
        <v>61</v>
      </c>
      <c r="T2" s="2" t="s">
        <v>62</v>
      </c>
    </row>
    <row r="3" spans="1:20" ht="22.8" customHeight="1" x14ac:dyDescent="0.3">
      <c r="A3" s="2" t="s">
        <v>1328</v>
      </c>
      <c r="B3" s="2" t="s">
        <v>240</v>
      </c>
      <c r="C3" s="2" t="s">
        <v>241</v>
      </c>
      <c r="D3" s="3">
        <v>46044.616585648146</v>
      </c>
      <c r="E3" s="3">
        <v>46174.554398148146</v>
      </c>
      <c r="F3" s="2" t="s">
        <v>100</v>
      </c>
      <c r="G3" s="2">
        <v>3</v>
      </c>
      <c r="H3" s="2" t="s">
        <v>1329</v>
      </c>
      <c r="I3" s="4" t="s">
        <v>1330</v>
      </c>
      <c r="J3" s="2"/>
      <c r="K3" s="2" t="s">
        <v>55</v>
      </c>
      <c r="L3" s="2" t="s">
        <v>71</v>
      </c>
      <c r="M3" s="2" t="s">
        <v>126</v>
      </c>
      <c r="N3" s="2" t="s">
        <v>71</v>
      </c>
      <c r="O3" s="2" t="s">
        <v>104</v>
      </c>
      <c r="P3" s="2" t="s">
        <v>71</v>
      </c>
      <c r="Q3" s="2" t="s">
        <v>60</v>
      </c>
      <c r="R3" s="5">
        <v>26.368055555555557</v>
      </c>
      <c r="S3" s="2" t="s">
        <v>61</v>
      </c>
      <c r="T3" s="2" t="s">
        <v>101</v>
      </c>
    </row>
    <row r="4" spans="1:20" ht="22.8" customHeight="1" x14ac:dyDescent="0.3">
      <c r="A4" s="2" t="s">
        <v>1331</v>
      </c>
      <c r="B4" s="2" t="s">
        <v>240</v>
      </c>
      <c r="C4" s="2" t="s">
        <v>241</v>
      </c>
      <c r="D4" s="3">
        <v>46044.669918981483</v>
      </c>
      <c r="E4" s="3">
        <v>46174.525138888886</v>
      </c>
      <c r="F4" s="2" t="s">
        <v>100</v>
      </c>
      <c r="G4" s="2">
        <v>3</v>
      </c>
      <c r="H4" s="2" t="s">
        <v>1332</v>
      </c>
      <c r="I4" s="4" t="s">
        <v>1333</v>
      </c>
      <c r="J4" s="2"/>
      <c r="K4" s="2" t="s">
        <v>55</v>
      </c>
      <c r="L4" s="2" t="s">
        <v>71</v>
      </c>
      <c r="M4" s="2" t="s">
        <v>126</v>
      </c>
      <c r="N4" s="2" t="s">
        <v>71</v>
      </c>
      <c r="O4" s="2" t="s">
        <v>104</v>
      </c>
      <c r="P4" s="2" t="s">
        <v>71</v>
      </c>
      <c r="Q4" s="2" t="s">
        <v>60</v>
      </c>
      <c r="R4" s="5">
        <v>10.622222222222222</v>
      </c>
      <c r="S4" s="2" t="s">
        <v>61</v>
      </c>
      <c r="T4" s="2" t="s">
        <v>101</v>
      </c>
    </row>
    <row r="5" spans="1:20" ht="22.8" customHeight="1" x14ac:dyDescent="0.3">
      <c r="A5" s="2" t="s">
        <v>1334</v>
      </c>
      <c r="B5" s="2" t="s">
        <v>240</v>
      </c>
      <c r="C5" s="2" t="s">
        <v>241</v>
      </c>
      <c r="D5" s="3">
        <v>46044.678715277776</v>
      </c>
      <c r="E5" s="3">
        <v>46174.524641203701</v>
      </c>
      <c r="F5" s="2" t="s">
        <v>100</v>
      </c>
      <c r="G5" s="2">
        <v>3</v>
      </c>
      <c r="H5" s="2" t="s">
        <v>1335</v>
      </c>
      <c r="I5" s="4" t="s">
        <v>1336</v>
      </c>
      <c r="J5" s="2"/>
      <c r="K5" s="2" t="s">
        <v>55</v>
      </c>
      <c r="L5" s="2" t="s">
        <v>71</v>
      </c>
      <c r="M5" s="2" t="s">
        <v>126</v>
      </c>
      <c r="N5" s="2" t="s">
        <v>71</v>
      </c>
      <c r="O5" s="2" t="s">
        <v>104</v>
      </c>
      <c r="P5" s="2" t="s">
        <v>71</v>
      </c>
      <c r="Q5" s="2" t="s">
        <v>60</v>
      </c>
      <c r="R5" s="5">
        <v>11.638888888888889</v>
      </c>
      <c r="S5" s="2" t="s">
        <v>61</v>
      </c>
      <c r="T5" s="2" t="s">
        <v>101</v>
      </c>
    </row>
    <row r="6" spans="1:20" ht="22.8" customHeight="1" x14ac:dyDescent="0.3">
      <c r="A6" s="2" t="s">
        <v>1337</v>
      </c>
      <c r="B6" s="2" t="s">
        <v>240</v>
      </c>
      <c r="C6" s="2" t="s">
        <v>241</v>
      </c>
      <c r="D6" s="3">
        <v>46044.682118055556</v>
      </c>
      <c r="E6" s="3">
        <v>46174.521226851852</v>
      </c>
      <c r="F6" s="2" t="s">
        <v>100</v>
      </c>
      <c r="G6" s="2">
        <v>3</v>
      </c>
      <c r="H6" s="2" t="s">
        <v>1338</v>
      </c>
      <c r="I6" s="4" t="s">
        <v>1339</v>
      </c>
      <c r="J6" s="2"/>
      <c r="K6" s="2" t="s">
        <v>55</v>
      </c>
      <c r="L6" s="2" t="s">
        <v>71</v>
      </c>
      <c r="M6" s="2" t="s">
        <v>126</v>
      </c>
      <c r="N6" s="2" t="s">
        <v>71</v>
      </c>
      <c r="O6" s="2" t="s">
        <v>104</v>
      </c>
      <c r="P6" s="2" t="s">
        <v>71</v>
      </c>
      <c r="Q6" s="2" t="s">
        <v>60</v>
      </c>
      <c r="R6" s="5">
        <v>11.975</v>
      </c>
      <c r="S6" s="2" t="s">
        <v>61</v>
      </c>
      <c r="T6" s="2" t="s">
        <v>101</v>
      </c>
    </row>
    <row r="7" spans="1:20" ht="22.8" customHeight="1" x14ac:dyDescent="0.3">
      <c r="A7" s="2" t="s">
        <v>1340</v>
      </c>
      <c r="B7" s="2" t="s">
        <v>1341</v>
      </c>
      <c r="C7" s="2" t="s">
        <v>1342</v>
      </c>
      <c r="D7" s="3">
        <v>46066.602129629631</v>
      </c>
      <c r="E7" s="3">
        <v>46196.425300925926</v>
      </c>
      <c r="F7" s="2" t="s">
        <v>77</v>
      </c>
      <c r="G7" s="2">
        <v>3</v>
      </c>
      <c r="H7" s="2" t="s">
        <v>1343</v>
      </c>
      <c r="I7" s="4" t="s">
        <v>1344</v>
      </c>
      <c r="J7" s="2"/>
      <c r="K7" s="2" t="s">
        <v>76</v>
      </c>
      <c r="L7" s="2" t="s">
        <v>81</v>
      </c>
      <c r="M7" s="2"/>
      <c r="N7" s="2" t="s">
        <v>81</v>
      </c>
      <c r="O7" s="2" t="s">
        <v>89</v>
      </c>
      <c r="P7" s="2" t="s">
        <v>81</v>
      </c>
      <c r="Q7" s="2" t="s">
        <v>60</v>
      </c>
      <c r="R7" s="5">
        <v>3.2493055555555554</v>
      </c>
      <c r="S7" s="2" t="s">
        <v>61</v>
      </c>
      <c r="T7" s="2" t="s">
        <v>62</v>
      </c>
    </row>
    <row r="8" spans="1:20" ht="22.8" customHeight="1" x14ac:dyDescent="0.3">
      <c r="A8" s="2" t="s">
        <v>1345</v>
      </c>
      <c r="B8" s="2" t="s">
        <v>1346</v>
      </c>
      <c r="C8" s="2" t="s">
        <v>1347</v>
      </c>
      <c r="D8" s="3">
        <v>46070.416655092595</v>
      </c>
      <c r="E8" s="3">
        <v>46176.499895833331</v>
      </c>
      <c r="F8" s="2" t="s">
        <v>73</v>
      </c>
      <c r="G8" s="2">
        <v>2</v>
      </c>
      <c r="H8" s="2" t="s">
        <v>1348</v>
      </c>
      <c r="I8" s="4" t="s">
        <v>64</v>
      </c>
      <c r="J8" s="2"/>
      <c r="K8" s="2" t="s">
        <v>76</v>
      </c>
      <c r="L8" s="2" t="s">
        <v>58</v>
      </c>
      <c r="M8" s="2"/>
      <c r="N8" s="2" t="s">
        <v>58</v>
      </c>
      <c r="O8" s="2" t="s">
        <v>65</v>
      </c>
      <c r="P8" s="2" t="s">
        <v>58</v>
      </c>
      <c r="Q8" s="2" t="s">
        <v>60</v>
      </c>
      <c r="R8" s="5">
        <v>33.333333333333336</v>
      </c>
      <c r="S8" s="2" t="s">
        <v>61</v>
      </c>
      <c r="T8" s="2" t="s">
        <v>62</v>
      </c>
    </row>
    <row r="9" spans="1:20" ht="22.8" customHeight="1" x14ac:dyDescent="0.3">
      <c r="A9" s="2" t="s">
        <v>1349</v>
      </c>
      <c r="B9" s="2" t="s">
        <v>271</v>
      </c>
      <c r="C9" s="2" t="s">
        <v>272</v>
      </c>
      <c r="D9" s="3">
        <v>46086.651122685187</v>
      </c>
      <c r="E9" s="3">
        <v>46195.408564814818</v>
      </c>
      <c r="F9" s="2" t="s">
        <v>581</v>
      </c>
      <c r="G9" s="2">
        <v>3</v>
      </c>
      <c r="H9" s="2" t="s">
        <v>1350</v>
      </c>
      <c r="I9" s="4" t="s">
        <v>1351</v>
      </c>
      <c r="J9" s="2"/>
      <c r="K9" s="2" t="s">
        <v>67</v>
      </c>
      <c r="L9" s="2" t="s">
        <v>78</v>
      </c>
      <c r="M9" s="2"/>
      <c r="N9" s="2" t="s">
        <v>79</v>
      </c>
      <c r="O9" s="2" t="s">
        <v>80</v>
      </c>
      <c r="P9" s="2" t="s">
        <v>78</v>
      </c>
      <c r="Q9" s="2" t="s">
        <v>60</v>
      </c>
      <c r="R9" s="5">
        <v>1.4013888888888888</v>
      </c>
      <c r="S9" s="2" t="s">
        <v>61</v>
      </c>
      <c r="T9" s="2" t="s">
        <v>62</v>
      </c>
    </row>
    <row r="10" spans="1:20" ht="22.8" customHeight="1" x14ac:dyDescent="0.3">
      <c r="A10" s="2" t="s">
        <v>1352</v>
      </c>
      <c r="B10" s="2" t="s">
        <v>1353</v>
      </c>
      <c r="C10" s="2" t="s">
        <v>1354</v>
      </c>
      <c r="D10" s="3">
        <v>46090.555601851855</v>
      </c>
      <c r="E10" s="3">
        <v>46191.409328703703</v>
      </c>
      <c r="F10" s="2" t="s">
        <v>109</v>
      </c>
      <c r="G10" s="2">
        <v>3</v>
      </c>
      <c r="H10" s="4" t="s">
        <v>1355</v>
      </c>
      <c r="I10" s="4" t="s">
        <v>1356</v>
      </c>
      <c r="J10" s="2"/>
      <c r="K10" s="2" t="s">
        <v>55</v>
      </c>
      <c r="L10" s="2" t="s">
        <v>119</v>
      </c>
      <c r="M10" s="2"/>
      <c r="N10" s="2" t="s">
        <v>119</v>
      </c>
      <c r="O10" s="2" t="s">
        <v>111</v>
      </c>
      <c r="P10" s="2" t="s">
        <v>119</v>
      </c>
      <c r="Q10" s="2" t="s">
        <v>60</v>
      </c>
      <c r="R10" s="5">
        <v>30.916666666666668</v>
      </c>
      <c r="S10" s="2" t="s">
        <v>61</v>
      </c>
      <c r="T10" s="2" t="s">
        <v>62</v>
      </c>
    </row>
    <row r="11" spans="1:20" ht="22.8" customHeight="1" x14ac:dyDescent="0.3">
      <c r="A11" s="2" t="s">
        <v>1357</v>
      </c>
      <c r="B11" s="2" t="s">
        <v>1243</v>
      </c>
      <c r="C11" s="2" t="s">
        <v>1244</v>
      </c>
      <c r="D11" s="3">
        <v>46098.484861111108</v>
      </c>
      <c r="E11" s="3">
        <v>46197.319166666668</v>
      </c>
      <c r="F11" s="2" t="s">
        <v>97</v>
      </c>
      <c r="G11" s="2">
        <v>2</v>
      </c>
      <c r="H11" s="2" t="s">
        <v>1358</v>
      </c>
      <c r="I11" s="2"/>
      <c r="J11" s="2"/>
      <c r="K11" s="2" t="s">
        <v>55</v>
      </c>
      <c r="L11" s="2" t="s">
        <v>105</v>
      </c>
      <c r="M11" s="2"/>
      <c r="N11" s="2" t="s">
        <v>98</v>
      </c>
      <c r="O11" s="2" t="s">
        <v>664</v>
      </c>
      <c r="P11" s="2" t="s">
        <v>105</v>
      </c>
      <c r="Q11" s="2" t="s">
        <v>60</v>
      </c>
      <c r="R11" s="5">
        <v>16.636805555555554</v>
      </c>
      <c r="S11" s="2" t="s">
        <v>61</v>
      </c>
      <c r="T11" s="2" t="s">
        <v>62</v>
      </c>
    </row>
    <row r="12" spans="1:20" ht="22.8" customHeight="1" x14ac:dyDescent="0.3">
      <c r="A12" s="2" t="s">
        <v>1359</v>
      </c>
      <c r="B12" s="2" t="s">
        <v>1360</v>
      </c>
      <c r="C12" s="2" t="s">
        <v>1361</v>
      </c>
      <c r="D12" s="3">
        <v>46112.619074074071</v>
      </c>
      <c r="E12" s="3">
        <v>46203.363634259258</v>
      </c>
      <c r="F12" s="2" t="s">
        <v>77</v>
      </c>
      <c r="G12" s="2">
        <v>2</v>
      </c>
      <c r="H12" s="2" t="s">
        <v>1362</v>
      </c>
      <c r="I12" s="4" t="s">
        <v>1363</v>
      </c>
      <c r="J12" s="2"/>
      <c r="K12" s="2" t="s">
        <v>76</v>
      </c>
      <c r="L12" s="2" t="s">
        <v>81</v>
      </c>
      <c r="M12" s="2"/>
      <c r="N12" s="2" t="s">
        <v>81</v>
      </c>
      <c r="O12" s="2" t="s">
        <v>90</v>
      </c>
      <c r="P12" s="2" t="s">
        <v>81</v>
      </c>
      <c r="Q12" s="2" t="s">
        <v>60</v>
      </c>
      <c r="R12" s="5">
        <v>2.3236111111111111</v>
      </c>
      <c r="S12" s="2" t="s">
        <v>61</v>
      </c>
      <c r="T12" s="2" t="s">
        <v>62</v>
      </c>
    </row>
    <row r="13" spans="1:20" ht="22.8" customHeight="1" x14ac:dyDescent="0.3">
      <c r="A13" s="2" t="s">
        <v>1364</v>
      </c>
      <c r="B13" s="2" t="s">
        <v>111</v>
      </c>
      <c r="C13" s="2" t="s">
        <v>152</v>
      </c>
      <c r="D13" s="3">
        <v>46119.438032407408</v>
      </c>
      <c r="E13" s="3">
        <v>46183.593564814815</v>
      </c>
      <c r="F13" s="2" t="s">
        <v>100</v>
      </c>
      <c r="G13" s="2">
        <v>3</v>
      </c>
      <c r="H13" s="2" t="s">
        <v>1365</v>
      </c>
      <c r="I13" s="4" t="s">
        <v>1366</v>
      </c>
      <c r="J13" s="2"/>
      <c r="K13" s="2" t="s">
        <v>55</v>
      </c>
      <c r="L13" s="2" t="s">
        <v>71</v>
      </c>
      <c r="M13" s="2"/>
      <c r="N13" s="2" t="s">
        <v>146</v>
      </c>
      <c r="O13" s="2" t="s">
        <v>147</v>
      </c>
      <c r="P13" s="2" t="s">
        <v>71</v>
      </c>
      <c r="Q13" s="2" t="s">
        <v>60</v>
      </c>
      <c r="R13" s="5">
        <v>15.759722222222223</v>
      </c>
      <c r="S13" s="2" t="s">
        <v>61</v>
      </c>
      <c r="T13" s="2" t="s">
        <v>189</v>
      </c>
    </row>
    <row r="14" spans="1:20" ht="22.8" customHeight="1" x14ac:dyDescent="0.3">
      <c r="A14" s="2" t="s">
        <v>1367</v>
      </c>
      <c r="B14" s="2" t="s">
        <v>1368</v>
      </c>
      <c r="C14" s="2" t="s">
        <v>1369</v>
      </c>
      <c r="D14" s="3">
        <v>46122.524108796293</v>
      </c>
      <c r="E14" s="3">
        <v>46175.337951388887</v>
      </c>
      <c r="F14" s="2" t="s">
        <v>84</v>
      </c>
      <c r="G14" s="2">
        <v>3</v>
      </c>
      <c r="H14" s="2" t="s">
        <v>136</v>
      </c>
      <c r="I14" s="4" t="s">
        <v>1370</v>
      </c>
      <c r="J14" s="2"/>
      <c r="K14" s="2" t="s">
        <v>55</v>
      </c>
      <c r="L14" s="2" t="s">
        <v>102</v>
      </c>
      <c r="M14" s="2"/>
      <c r="N14" s="2" t="s">
        <v>86</v>
      </c>
      <c r="O14" s="2" t="s">
        <v>87</v>
      </c>
      <c r="P14" s="2" t="s">
        <v>102</v>
      </c>
      <c r="Q14" s="2" t="s">
        <v>60</v>
      </c>
      <c r="R14" s="5">
        <v>15.678472222222222</v>
      </c>
      <c r="S14" s="2" t="s">
        <v>61</v>
      </c>
      <c r="T14" s="2" t="s">
        <v>62</v>
      </c>
    </row>
    <row r="15" spans="1:20" ht="22.8" customHeight="1" x14ac:dyDescent="0.3">
      <c r="A15" s="2" t="s">
        <v>1371</v>
      </c>
      <c r="B15" s="2" t="s">
        <v>181</v>
      </c>
      <c r="C15" s="2" t="s">
        <v>182</v>
      </c>
      <c r="D15" s="3">
        <v>46125.390706018516</v>
      </c>
      <c r="E15" s="3">
        <v>46174.363483796296</v>
      </c>
      <c r="F15" s="2" t="s">
        <v>123</v>
      </c>
      <c r="G15" s="2">
        <v>3</v>
      </c>
      <c r="H15" s="2" t="s">
        <v>133</v>
      </c>
      <c r="I15" s="4" t="s">
        <v>1372</v>
      </c>
      <c r="J15" s="2"/>
      <c r="K15" s="2" t="s">
        <v>67</v>
      </c>
      <c r="L15" s="2" t="s">
        <v>79</v>
      </c>
      <c r="M15" s="2"/>
      <c r="N15" s="2" t="s">
        <v>79</v>
      </c>
      <c r="O15" s="2" t="s">
        <v>80</v>
      </c>
      <c r="P15" s="2" t="s">
        <v>79</v>
      </c>
      <c r="Q15" s="2" t="s">
        <v>60</v>
      </c>
      <c r="R15" s="5">
        <v>15.285416666666666</v>
      </c>
      <c r="S15" s="2" t="s">
        <v>61</v>
      </c>
      <c r="T15" s="2" t="s">
        <v>62</v>
      </c>
    </row>
    <row r="16" spans="1:20" ht="22.8" customHeight="1" x14ac:dyDescent="0.3">
      <c r="A16" s="2" t="s">
        <v>1373</v>
      </c>
      <c r="B16" s="2" t="s">
        <v>1374</v>
      </c>
      <c r="C16" s="2" t="s">
        <v>1375</v>
      </c>
      <c r="D16" s="3">
        <v>46125.493333333332</v>
      </c>
      <c r="E16" s="3">
        <v>46175.454444444447</v>
      </c>
      <c r="F16" s="2" t="s">
        <v>77</v>
      </c>
      <c r="G16" s="2">
        <v>2</v>
      </c>
      <c r="H16" s="2" t="s">
        <v>1376</v>
      </c>
      <c r="I16" s="4" t="s">
        <v>1377</v>
      </c>
      <c r="J16" s="2"/>
      <c r="K16" s="2" t="s">
        <v>55</v>
      </c>
      <c r="L16" s="2" t="s">
        <v>78</v>
      </c>
      <c r="M16" s="2"/>
      <c r="N16" s="2" t="s">
        <v>78</v>
      </c>
      <c r="O16" s="2" t="s">
        <v>103</v>
      </c>
      <c r="P16" s="2" t="s">
        <v>78</v>
      </c>
      <c r="Q16" s="2" t="s">
        <v>60</v>
      </c>
      <c r="R16" s="5">
        <v>15.71111111111111</v>
      </c>
      <c r="S16" s="2" t="s">
        <v>61</v>
      </c>
      <c r="T16" s="2" t="s">
        <v>62</v>
      </c>
    </row>
    <row r="17" spans="1:20" ht="22.8" customHeight="1" x14ac:dyDescent="0.3">
      <c r="A17" s="2" t="s">
        <v>1378</v>
      </c>
      <c r="B17" s="2" t="s">
        <v>167</v>
      </c>
      <c r="C17" s="2" t="s">
        <v>168</v>
      </c>
      <c r="D17" s="3">
        <v>46127.629976851851</v>
      </c>
      <c r="E17" s="3">
        <v>46195.476724537039</v>
      </c>
      <c r="F17" s="2" t="s">
        <v>88</v>
      </c>
      <c r="G17" s="2">
        <v>3</v>
      </c>
      <c r="H17" s="2" t="s">
        <v>1379</v>
      </c>
      <c r="I17" s="4" t="s">
        <v>1380</v>
      </c>
      <c r="J17" s="2"/>
      <c r="K17" s="2" t="s">
        <v>55</v>
      </c>
      <c r="L17" s="2" t="s">
        <v>78</v>
      </c>
      <c r="M17" s="2"/>
      <c r="N17" s="2" t="s">
        <v>78</v>
      </c>
      <c r="O17" s="2" t="s">
        <v>94</v>
      </c>
      <c r="P17" s="2" t="s">
        <v>78</v>
      </c>
      <c r="Q17" s="2" t="s">
        <v>60</v>
      </c>
      <c r="R17" s="5">
        <v>16.668749999999999</v>
      </c>
      <c r="S17" s="2" t="s">
        <v>61</v>
      </c>
      <c r="T17" s="2" t="s">
        <v>62</v>
      </c>
    </row>
    <row r="18" spans="1:20" ht="22.8" customHeight="1" x14ac:dyDescent="0.3">
      <c r="A18" s="2" t="s">
        <v>1381</v>
      </c>
      <c r="B18" s="2" t="s">
        <v>1111</v>
      </c>
      <c r="C18" s="2" t="s">
        <v>1112</v>
      </c>
      <c r="D18" s="3">
        <v>46132.708182870374</v>
      </c>
      <c r="E18" s="3">
        <v>46176.499108796299</v>
      </c>
      <c r="F18" s="2" t="s">
        <v>73</v>
      </c>
      <c r="G18" s="2">
        <v>2</v>
      </c>
      <c r="H18" s="2" t="s">
        <v>1382</v>
      </c>
      <c r="I18" s="4" t="s">
        <v>64</v>
      </c>
      <c r="J18" s="2"/>
      <c r="K18" s="2" t="s">
        <v>76</v>
      </c>
      <c r="L18" s="2" t="s">
        <v>58</v>
      </c>
      <c r="M18" s="2"/>
      <c r="N18" s="2" t="s">
        <v>58</v>
      </c>
      <c r="O18" s="2" t="s">
        <v>65</v>
      </c>
      <c r="P18" s="2" t="s">
        <v>58</v>
      </c>
      <c r="Q18" s="2" t="s">
        <v>60</v>
      </c>
      <c r="R18" s="5">
        <v>13.790972222222223</v>
      </c>
      <c r="S18" s="2" t="s">
        <v>61</v>
      </c>
      <c r="T18" s="2" t="s">
        <v>62</v>
      </c>
    </row>
    <row r="19" spans="1:20" ht="22.8" customHeight="1" x14ac:dyDescent="0.3">
      <c r="A19" s="2" t="s">
        <v>1383</v>
      </c>
      <c r="B19" s="2" t="s">
        <v>1384</v>
      </c>
      <c r="C19" s="2" t="s">
        <v>1385</v>
      </c>
      <c r="D19" s="3">
        <v>46142.476851851854</v>
      </c>
      <c r="E19" s="3">
        <v>46192.659155092595</v>
      </c>
      <c r="F19" s="2" t="s">
        <v>88</v>
      </c>
      <c r="G19" s="2">
        <v>2</v>
      </c>
      <c r="H19" s="2" t="s">
        <v>1386</v>
      </c>
      <c r="I19" s="4" t="s">
        <v>1387</v>
      </c>
      <c r="J19" s="2"/>
      <c r="K19" s="2" t="s">
        <v>76</v>
      </c>
      <c r="L19" s="2" t="s">
        <v>81</v>
      </c>
      <c r="M19" s="2"/>
      <c r="N19" s="2" t="s">
        <v>81</v>
      </c>
      <c r="O19" s="2" t="s">
        <v>90</v>
      </c>
      <c r="P19" s="2" t="s">
        <v>81</v>
      </c>
      <c r="Q19" s="2" t="s">
        <v>60</v>
      </c>
      <c r="R19" s="5">
        <v>15.932638888888889</v>
      </c>
      <c r="S19" s="2" t="s">
        <v>61</v>
      </c>
      <c r="T19" s="2" t="s">
        <v>62</v>
      </c>
    </row>
    <row r="20" spans="1:20" ht="22.8" customHeight="1" x14ac:dyDescent="0.3">
      <c r="A20" s="2" t="s">
        <v>251</v>
      </c>
      <c r="B20" s="2" t="s">
        <v>111</v>
      </c>
      <c r="C20" s="2" t="s">
        <v>152</v>
      </c>
      <c r="D20" s="3">
        <v>46146.485335648147</v>
      </c>
      <c r="E20" s="3">
        <v>46181.597627314812</v>
      </c>
      <c r="F20" s="2" t="s">
        <v>100</v>
      </c>
      <c r="G20" s="2">
        <v>3</v>
      </c>
      <c r="H20" s="2" t="s">
        <v>252</v>
      </c>
      <c r="I20" s="4" t="s">
        <v>253</v>
      </c>
      <c r="J20" s="2"/>
      <c r="K20" s="2" t="s">
        <v>55</v>
      </c>
      <c r="L20" s="2" t="s">
        <v>137</v>
      </c>
      <c r="M20" s="2"/>
      <c r="N20" s="2" t="s">
        <v>110</v>
      </c>
      <c r="O20" s="2" t="s">
        <v>111</v>
      </c>
      <c r="P20" s="2" t="s">
        <v>137</v>
      </c>
      <c r="Q20" s="2" t="s">
        <v>60</v>
      </c>
      <c r="R20" s="5">
        <v>10.612500000000001</v>
      </c>
      <c r="S20" s="2" t="s">
        <v>61</v>
      </c>
      <c r="T20" s="2" t="s">
        <v>189</v>
      </c>
    </row>
    <row r="21" spans="1:20" ht="22.8" customHeight="1" x14ac:dyDescent="0.3">
      <c r="A21" s="2" t="s">
        <v>254</v>
      </c>
      <c r="B21" s="2" t="s">
        <v>255</v>
      </c>
      <c r="C21" s="2" t="s">
        <v>256</v>
      </c>
      <c r="D21" s="3">
        <v>46146.530428240738</v>
      </c>
      <c r="E21" s="3">
        <v>46175.430671296293</v>
      </c>
      <c r="F21" s="2" t="s">
        <v>93</v>
      </c>
      <c r="G21" s="2">
        <v>2</v>
      </c>
      <c r="H21" s="2" t="s">
        <v>257</v>
      </c>
      <c r="I21" s="4" t="s">
        <v>258</v>
      </c>
      <c r="J21" s="2"/>
      <c r="K21" s="2" t="s">
        <v>55</v>
      </c>
      <c r="L21" s="2" t="s">
        <v>78</v>
      </c>
      <c r="M21" s="2"/>
      <c r="N21" s="2" t="s">
        <v>78</v>
      </c>
      <c r="O21" s="2" t="s">
        <v>103</v>
      </c>
      <c r="P21" s="2" t="s">
        <v>78</v>
      </c>
      <c r="Q21" s="2" t="s">
        <v>60</v>
      </c>
      <c r="R21" s="5">
        <v>7.9076388888888891</v>
      </c>
      <c r="S21" s="2" t="s">
        <v>61</v>
      </c>
      <c r="T21" s="2" t="s">
        <v>62</v>
      </c>
    </row>
    <row r="22" spans="1:20" ht="22.8" customHeight="1" x14ac:dyDescent="0.3">
      <c r="A22" s="2" t="s">
        <v>259</v>
      </c>
      <c r="B22" s="2" t="s">
        <v>202</v>
      </c>
      <c r="C22" s="2" t="s">
        <v>203</v>
      </c>
      <c r="D22" s="3">
        <v>46146.594259259262</v>
      </c>
      <c r="E22" s="3">
        <v>46178.62604166667</v>
      </c>
      <c r="F22" s="2" t="s">
        <v>93</v>
      </c>
      <c r="G22" s="2">
        <v>3</v>
      </c>
      <c r="H22" s="2" t="s">
        <v>260</v>
      </c>
      <c r="I22" s="4" t="s">
        <v>261</v>
      </c>
      <c r="J22" s="2"/>
      <c r="K22" s="2" t="s">
        <v>55</v>
      </c>
      <c r="L22" s="2" t="s">
        <v>78</v>
      </c>
      <c r="M22" s="2"/>
      <c r="N22" s="2" t="s">
        <v>78</v>
      </c>
      <c r="O22" s="2" t="s">
        <v>103</v>
      </c>
      <c r="P22" s="2" t="s">
        <v>78</v>
      </c>
      <c r="Q22" s="2" t="s">
        <v>60</v>
      </c>
      <c r="R22" s="5">
        <v>7.2951388888888893</v>
      </c>
      <c r="S22" s="2" t="s">
        <v>61</v>
      </c>
      <c r="T22" s="2" t="s">
        <v>62</v>
      </c>
    </row>
    <row r="23" spans="1:20" ht="22.8" customHeight="1" x14ac:dyDescent="0.3">
      <c r="A23" s="2" t="s">
        <v>1388</v>
      </c>
      <c r="B23" s="2" t="s">
        <v>1389</v>
      </c>
      <c r="C23" s="2" t="s">
        <v>1390</v>
      </c>
      <c r="D23" s="3">
        <v>46149.428090277775</v>
      </c>
      <c r="E23" s="3">
        <v>46185.426574074074</v>
      </c>
      <c r="F23" s="2" t="s">
        <v>84</v>
      </c>
      <c r="G23" s="2">
        <v>3</v>
      </c>
      <c r="H23" s="2" t="s">
        <v>85</v>
      </c>
      <c r="I23" s="4" t="s">
        <v>1391</v>
      </c>
      <c r="J23" s="2"/>
      <c r="K23" s="2" t="s">
        <v>76</v>
      </c>
      <c r="L23" s="2" t="s">
        <v>102</v>
      </c>
      <c r="M23" s="2"/>
      <c r="N23" s="2" t="s">
        <v>86</v>
      </c>
      <c r="O23" s="2" t="s">
        <v>87</v>
      </c>
      <c r="P23" s="2" t="s">
        <v>102</v>
      </c>
      <c r="Q23" s="2" t="s">
        <v>60</v>
      </c>
      <c r="R23" s="5">
        <v>11.373611111111112</v>
      </c>
      <c r="S23" s="2" t="s">
        <v>61</v>
      </c>
      <c r="T23" s="2" t="s">
        <v>62</v>
      </c>
    </row>
    <row r="24" spans="1:20" ht="22.8" customHeight="1" x14ac:dyDescent="0.3">
      <c r="A24" s="2" t="s">
        <v>1392</v>
      </c>
      <c r="B24" s="2" t="s">
        <v>552</v>
      </c>
      <c r="C24" s="2" t="s">
        <v>553</v>
      </c>
      <c r="D24" s="3">
        <v>46149.615914351853</v>
      </c>
      <c r="E24" s="3">
        <v>46195.654513888891</v>
      </c>
      <c r="F24" s="2" t="s">
        <v>77</v>
      </c>
      <c r="G24" s="2">
        <v>3</v>
      </c>
      <c r="H24" s="2" t="s">
        <v>1393</v>
      </c>
      <c r="I24" s="4" t="s">
        <v>1394</v>
      </c>
      <c r="J24" s="2"/>
      <c r="K24" s="2" t="s">
        <v>55</v>
      </c>
      <c r="L24" s="2" t="s">
        <v>81</v>
      </c>
      <c r="M24" s="2"/>
      <c r="N24" s="2" t="s">
        <v>78</v>
      </c>
      <c r="O24" s="2" t="s">
        <v>94</v>
      </c>
      <c r="P24" s="2" t="s">
        <v>81</v>
      </c>
      <c r="Q24" s="2" t="s">
        <v>60</v>
      </c>
      <c r="R24" s="5">
        <v>14.03888888888889</v>
      </c>
      <c r="S24" s="2" t="s">
        <v>61</v>
      </c>
      <c r="T24" s="2" t="s">
        <v>62</v>
      </c>
    </row>
    <row r="25" spans="1:20" ht="22.8" customHeight="1" x14ac:dyDescent="0.3">
      <c r="A25" s="2" t="s">
        <v>281</v>
      </c>
      <c r="B25" s="2" t="s">
        <v>279</v>
      </c>
      <c r="C25" s="2" t="s">
        <v>280</v>
      </c>
      <c r="D25" s="3">
        <v>46149.630231481482</v>
      </c>
      <c r="E25" s="3">
        <v>46174.429282407407</v>
      </c>
      <c r="F25" s="2" t="s">
        <v>282</v>
      </c>
      <c r="G25" s="2">
        <v>3</v>
      </c>
      <c r="H25" s="2" t="s">
        <v>283</v>
      </c>
      <c r="I25" s="4" t="s">
        <v>284</v>
      </c>
      <c r="J25" s="2"/>
      <c r="K25" s="2" t="s">
        <v>55</v>
      </c>
      <c r="L25" s="2" t="s">
        <v>78</v>
      </c>
      <c r="M25" s="2"/>
      <c r="N25" s="2" t="s">
        <v>78</v>
      </c>
      <c r="O25" s="2" t="s">
        <v>89</v>
      </c>
      <c r="P25" s="2" t="s">
        <v>78</v>
      </c>
      <c r="Q25" s="2" t="s">
        <v>60</v>
      </c>
      <c r="R25" s="5">
        <v>7.2368055555555557</v>
      </c>
      <c r="S25" s="2" t="s">
        <v>61</v>
      </c>
      <c r="T25" s="2" t="s">
        <v>62</v>
      </c>
    </row>
    <row r="26" spans="1:20" ht="22.8" customHeight="1" x14ac:dyDescent="0.3">
      <c r="A26" s="2" t="s">
        <v>288</v>
      </c>
      <c r="B26" s="2" t="s">
        <v>289</v>
      </c>
      <c r="C26" s="2" t="s">
        <v>290</v>
      </c>
      <c r="D26" s="3">
        <v>46150.702002314814</v>
      </c>
      <c r="E26" s="3">
        <v>46175.607152777775</v>
      </c>
      <c r="F26" s="2" t="s">
        <v>93</v>
      </c>
      <c r="G26" s="2">
        <v>2</v>
      </c>
      <c r="H26" s="2" t="s">
        <v>291</v>
      </c>
      <c r="I26" s="4" t="s">
        <v>292</v>
      </c>
      <c r="J26" s="2"/>
      <c r="K26" s="2" t="s">
        <v>55</v>
      </c>
      <c r="L26" s="2" t="s">
        <v>78</v>
      </c>
      <c r="M26" s="2"/>
      <c r="N26" s="2" t="s">
        <v>78</v>
      </c>
      <c r="O26" s="2" t="s">
        <v>94</v>
      </c>
      <c r="P26" s="2" t="s">
        <v>78</v>
      </c>
      <c r="Q26" s="2" t="s">
        <v>60</v>
      </c>
      <c r="R26" s="5">
        <v>3.0597222222222222</v>
      </c>
      <c r="S26" s="2" t="s">
        <v>61</v>
      </c>
      <c r="T26" s="2" t="s">
        <v>62</v>
      </c>
    </row>
    <row r="27" spans="1:20" ht="22.8" customHeight="1" x14ac:dyDescent="0.3">
      <c r="A27" s="2" t="s">
        <v>298</v>
      </c>
      <c r="B27" s="2" t="s">
        <v>299</v>
      </c>
      <c r="C27" s="2" t="s">
        <v>300</v>
      </c>
      <c r="D27" s="3">
        <v>46153.597905092596</v>
      </c>
      <c r="E27" s="3">
        <v>46178.62703703704</v>
      </c>
      <c r="F27" s="2" t="s">
        <v>113</v>
      </c>
      <c r="G27" s="2">
        <v>3</v>
      </c>
      <c r="H27" s="2" t="s">
        <v>114</v>
      </c>
      <c r="I27" s="4" t="s">
        <v>301</v>
      </c>
      <c r="J27" s="2"/>
      <c r="K27" s="2" t="s">
        <v>55</v>
      </c>
      <c r="L27" s="2" t="s">
        <v>81</v>
      </c>
      <c r="M27" s="2"/>
      <c r="N27" s="2" t="s">
        <v>78</v>
      </c>
      <c r="O27" s="2" t="s">
        <v>103</v>
      </c>
      <c r="P27" s="2" t="s">
        <v>81</v>
      </c>
      <c r="Q27" s="2" t="s">
        <v>60</v>
      </c>
      <c r="R27" s="5">
        <v>5.8687500000000004</v>
      </c>
      <c r="S27" s="2" t="s">
        <v>61</v>
      </c>
      <c r="T27" s="2" t="s">
        <v>116</v>
      </c>
    </row>
    <row r="28" spans="1:20" ht="22.8" customHeight="1" x14ac:dyDescent="0.3">
      <c r="A28" s="2" t="s">
        <v>304</v>
      </c>
      <c r="B28" s="2" t="s">
        <v>243</v>
      </c>
      <c r="C28" s="2" t="s">
        <v>244</v>
      </c>
      <c r="D28" s="3">
        <v>46153.695972222224</v>
      </c>
      <c r="E28" s="3">
        <v>46183.615567129629</v>
      </c>
      <c r="F28" s="2" t="s">
        <v>150</v>
      </c>
      <c r="G28" s="2">
        <v>3</v>
      </c>
      <c r="H28" s="2" t="s">
        <v>305</v>
      </c>
      <c r="I28" s="2"/>
      <c r="J28" s="2"/>
      <c r="K28" s="2" t="s">
        <v>76</v>
      </c>
      <c r="L28" s="2" t="s">
        <v>137</v>
      </c>
      <c r="M28" s="2"/>
      <c r="N28" s="2" t="s">
        <v>71</v>
      </c>
      <c r="O28" s="2" t="s">
        <v>306</v>
      </c>
      <c r="P28" s="2" t="s">
        <v>137</v>
      </c>
      <c r="Q28" s="2" t="s">
        <v>60</v>
      </c>
      <c r="R28" s="5">
        <v>9.5451388888888893</v>
      </c>
      <c r="S28" s="2" t="s">
        <v>61</v>
      </c>
      <c r="T28" s="2" t="s">
        <v>62</v>
      </c>
    </row>
    <row r="29" spans="1:20" ht="22.8" customHeight="1" x14ac:dyDescent="0.3">
      <c r="A29" s="2" t="s">
        <v>307</v>
      </c>
      <c r="B29" s="2" t="s">
        <v>243</v>
      </c>
      <c r="C29" s="2" t="s">
        <v>244</v>
      </c>
      <c r="D29" s="3">
        <v>46153.69730324074</v>
      </c>
      <c r="E29" s="3">
        <v>46182.388518518521</v>
      </c>
      <c r="F29" s="2" t="s">
        <v>150</v>
      </c>
      <c r="G29" s="2">
        <v>3</v>
      </c>
      <c r="H29" s="2" t="s">
        <v>239</v>
      </c>
      <c r="I29" s="2"/>
      <c r="J29" s="2"/>
      <c r="K29" s="2" t="s">
        <v>76</v>
      </c>
      <c r="L29" s="2" t="s">
        <v>137</v>
      </c>
      <c r="M29" s="2"/>
      <c r="N29" s="2" t="s">
        <v>137</v>
      </c>
      <c r="O29" s="2" t="s">
        <v>151</v>
      </c>
      <c r="P29" s="2" t="s">
        <v>137</v>
      </c>
      <c r="Q29" s="2" t="s">
        <v>60</v>
      </c>
      <c r="R29" s="5">
        <v>8.8791666666666664</v>
      </c>
      <c r="S29" s="2" t="s">
        <v>61</v>
      </c>
      <c r="T29" s="2" t="s">
        <v>62</v>
      </c>
    </row>
    <row r="30" spans="1:20" ht="22.8" customHeight="1" x14ac:dyDescent="0.3">
      <c r="A30" s="2" t="s">
        <v>308</v>
      </c>
      <c r="B30" s="2" t="s">
        <v>243</v>
      </c>
      <c r="C30" s="2" t="s">
        <v>244</v>
      </c>
      <c r="D30" s="3">
        <v>46153.698275462964</v>
      </c>
      <c r="E30" s="3">
        <v>46183.613240740742</v>
      </c>
      <c r="F30" s="2" t="s">
        <v>150</v>
      </c>
      <c r="G30" s="2">
        <v>3</v>
      </c>
      <c r="H30" s="2" t="s">
        <v>309</v>
      </c>
      <c r="I30" s="2"/>
      <c r="J30" s="2"/>
      <c r="K30" s="2" t="s">
        <v>76</v>
      </c>
      <c r="L30" s="2" t="s">
        <v>137</v>
      </c>
      <c r="M30" s="2"/>
      <c r="N30" s="2" t="s">
        <v>71</v>
      </c>
      <c r="O30" s="2" t="s">
        <v>306</v>
      </c>
      <c r="P30" s="2" t="s">
        <v>137</v>
      </c>
      <c r="Q30" s="2" t="s">
        <v>60</v>
      </c>
      <c r="R30" s="5">
        <v>9.5402777777777779</v>
      </c>
      <c r="S30" s="2" t="s">
        <v>61</v>
      </c>
      <c r="T30" s="2" t="s">
        <v>62</v>
      </c>
    </row>
    <row r="31" spans="1:20" ht="22.8" customHeight="1" x14ac:dyDescent="0.3">
      <c r="A31" s="2" t="s">
        <v>310</v>
      </c>
      <c r="B31" s="2" t="s">
        <v>243</v>
      </c>
      <c r="C31" s="2" t="s">
        <v>244</v>
      </c>
      <c r="D31" s="3">
        <v>46153.702094907407</v>
      </c>
      <c r="E31" s="3">
        <v>46182.389756944445</v>
      </c>
      <c r="F31" s="2" t="s">
        <v>63</v>
      </c>
      <c r="G31" s="2">
        <v>2</v>
      </c>
      <c r="H31" s="2" t="s">
        <v>311</v>
      </c>
      <c r="I31" s="2"/>
      <c r="J31" s="2"/>
      <c r="K31" s="2" t="s">
        <v>76</v>
      </c>
      <c r="L31" s="2" t="s">
        <v>58</v>
      </c>
      <c r="M31" s="2"/>
      <c r="N31" s="2" t="s">
        <v>137</v>
      </c>
      <c r="O31" s="2" t="s">
        <v>151</v>
      </c>
      <c r="P31" s="2" t="s">
        <v>58</v>
      </c>
      <c r="Q31" s="2" t="s">
        <v>60</v>
      </c>
      <c r="R31" s="5">
        <v>9.313194444444445</v>
      </c>
      <c r="S31" s="2" t="s">
        <v>61</v>
      </c>
      <c r="T31" s="2" t="s">
        <v>62</v>
      </c>
    </row>
    <row r="32" spans="1:20" ht="22.8" customHeight="1" x14ac:dyDescent="0.3">
      <c r="A32" s="2" t="s">
        <v>312</v>
      </c>
      <c r="B32" s="2" t="s">
        <v>167</v>
      </c>
      <c r="C32" s="2" t="s">
        <v>168</v>
      </c>
      <c r="D32" s="3">
        <v>46154.557384259257</v>
      </c>
      <c r="E32" s="3">
        <v>46175.304537037038</v>
      </c>
      <c r="F32" s="2" t="s">
        <v>100</v>
      </c>
      <c r="G32" s="2">
        <v>3</v>
      </c>
      <c r="H32" s="4" t="s">
        <v>313</v>
      </c>
      <c r="I32" s="4" t="s">
        <v>314</v>
      </c>
      <c r="J32" s="2"/>
      <c r="K32" s="2" t="s">
        <v>55</v>
      </c>
      <c r="L32" s="2" t="s">
        <v>71</v>
      </c>
      <c r="M32" s="2"/>
      <c r="N32" s="2" t="s">
        <v>146</v>
      </c>
      <c r="O32" s="2" t="s">
        <v>147</v>
      </c>
      <c r="P32" s="2" t="s">
        <v>71</v>
      </c>
      <c r="Q32" s="2" t="s">
        <v>60</v>
      </c>
      <c r="R32" s="5">
        <v>4.3687500000000004</v>
      </c>
      <c r="S32" s="2" t="s">
        <v>61</v>
      </c>
      <c r="T32" s="2" t="s">
        <v>189</v>
      </c>
    </row>
    <row r="33" spans="1:20" ht="22.8" customHeight="1" x14ac:dyDescent="0.3">
      <c r="A33" s="2" t="s">
        <v>315</v>
      </c>
      <c r="B33" s="2" t="s">
        <v>167</v>
      </c>
      <c r="C33" s="2" t="s">
        <v>168</v>
      </c>
      <c r="D33" s="3">
        <v>46154.561898148146</v>
      </c>
      <c r="E33" s="3">
        <v>46177.453703703701</v>
      </c>
      <c r="F33" s="2" t="s">
        <v>100</v>
      </c>
      <c r="G33" s="2">
        <v>3</v>
      </c>
      <c r="H33" s="4" t="s">
        <v>316</v>
      </c>
      <c r="I33" s="4" t="s">
        <v>317</v>
      </c>
      <c r="J33" s="2"/>
      <c r="K33" s="2" t="s">
        <v>55</v>
      </c>
      <c r="L33" s="2" t="s">
        <v>71</v>
      </c>
      <c r="M33" s="2"/>
      <c r="N33" s="2" t="s">
        <v>146</v>
      </c>
      <c r="O33" s="2" t="s">
        <v>147</v>
      </c>
      <c r="P33" s="2" t="s">
        <v>71</v>
      </c>
      <c r="Q33" s="2" t="s">
        <v>60</v>
      </c>
      <c r="R33" s="5">
        <v>5.3590277777777775</v>
      </c>
      <c r="S33" s="2" t="s">
        <v>61</v>
      </c>
      <c r="T33" s="2" t="s">
        <v>189</v>
      </c>
    </row>
    <row r="34" spans="1:20" ht="22.8" customHeight="1" x14ac:dyDescent="0.3">
      <c r="A34" s="2" t="s">
        <v>318</v>
      </c>
      <c r="B34" s="2" t="s">
        <v>167</v>
      </c>
      <c r="C34" s="2" t="s">
        <v>168</v>
      </c>
      <c r="D34" s="3">
        <v>46154.567083333335</v>
      </c>
      <c r="E34" s="3">
        <v>46176.437083333331</v>
      </c>
      <c r="F34" s="2" t="s">
        <v>100</v>
      </c>
      <c r="G34" s="2">
        <v>3</v>
      </c>
      <c r="H34" s="4" t="s">
        <v>319</v>
      </c>
      <c r="I34" s="4" t="s">
        <v>320</v>
      </c>
      <c r="J34" s="2"/>
      <c r="K34" s="2" t="s">
        <v>55</v>
      </c>
      <c r="L34" s="2" t="s">
        <v>71</v>
      </c>
      <c r="M34" s="2"/>
      <c r="N34" s="2" t="s">
        <v>146</v>
      </c>
      <c r="O34" s="2" t="s">
        <v>147</v>
      </c>
      <c r="P34" s="2" t="s">
        <v>71</v>
      </c>
      <c r="Q34" s="2" t="s">
        <v>60</v>
      </c>
      <c r="R34" s="5">
        <v>4.9000000000000004</v>
      </c>
      <c r="S34" s="2" t="s">
        <v>61</v>
      </c>
      <c r="T34" s="2" t="s">
        <v>189</v>
      </c>
    </row>
    <row r="35" spans="1:20" ht="22.8" customHeight="1" x14ac:dyDescent="0.3">
      <c r="A35" s="2" t="s">
        <v>321</v>
      </c>
      <c r="B35" s="2" t="s">
        <v>167</v>
      </c>
      <c r="C35" s="2" t="s">
        <v>168</v>
      </c>
      <c r="D35" s="3">
        <v>46154.569479166668</v>
      </c>
      <c r="E35" s="3">
        <v>46175.303842592592</v>
      </c>
      <c r="F35" s="2" t="s">
        <v>100</v>
      </c>
      <c r="G35" s="2">
        <v>3</v>
      </c>
      <c r="H35" s="4" t="s">
        <v>322</v>
      </c>
      <c r="I35" s="4" t="s">
        <v>323</v>
      </c>
      <c r="J35" s="2"/>
      <c r="K35" s="2" t="s">
        <v>55</v>
      </c>
      <c r="L35" s="2" t="s">
        <v>71</v>
      </c>
      <c r="M35" s="2"/>
      <c r="N35" s="2" t="s">
        <v>146</v>
      </c>
      <c r="O35" s="2" t="s">
        <v>147</v>
      </c>
      <c r="P35" s="2" t="s">
        <v>71</v>
      </c>
      <c r="Q35" s="2" t="s">
        <v>60</v>
      </c>
      <c r="R35" s="5">
        <v>4.3562500000000002</v>
      </c>
      <c r="S35" s="2" t="s">
        <v>61</v>
      </c>
      <c r="T35" s="2" t="s">
        <v>189</v>
      </c>
    </row>
    <row r="36" spans="1:20" ht="22.8" customHeight="1" x14ac:dyDescent="0.3">
      <c r="A36" s="2" t="s">
        <v>324</v>
      </c>
      <c r="B36" s="2" t="s">
        <v>167</v>
      </c>
      <c r="C36" s="2" t="s">
        <v>168</v>
      </c>
      <c r="D36" s="3">
        <v>46154.573645833334</v>
      </c>
      <c r="E36" s="3">
        <v>46182.408819444441</v>
      </c>
      <c r="F36" s="2" t="s">
        <v>100</v>
      </c>
      <c r="G36" s="2">
        <v>3</v>
      </c>
      <c r="H36" s="4" t="s">
        <v>325</v>
      </c>
      <c r="I36" s="4" t="s">
        <v>326</v>
      </c>
      <c r="J36" s="2"/>
      <c r="K36" s="2" t="s">
        <v>55</v>
      </c>
      <c r="L36" s="2" t="s">
        <v>71</v>
      </c>
      <c r="M36" s="2"/>
      <c r="N36" s="2" t="s">
        <v>146</v>
      </c>
      <c r="O36" s="2" t="s">
        <v>147</v>
      </c>
      <c r="P36" s="2" t="s">
        <v>71</v>
      </c>
      <c r="Q36" s="2" t="s">
        <v>60</v>
      </c>
      <c r="R36" s="5">
        <v>6.614583333333333</v>
      </c>
      <c r="S36" s="2" t="s">
        <v>61</v>
      </c>
      <c r="T36" s="2" t="s">
        <v>189</v>
      </c>
    </row>
    <row r="37" spans="1:20" ht="22.8" customHeight="1" x14ac:dyDescent="0.3">
      <c r="A37" s="2" t="s">
        <v>327</v>
      </c>
      <c r="B37" s="2" t="s">
        <v>167</v>
      </c>
      <c r="C37" s="2" t="s">
        <v>168</v>
      </c>
      <c r="D37" s="3">
        <v>46154.58090277778</v>
      </c>
      <c r="E37" s="3">
        <v>46175.303229166668</v>
      </c>
      <c r="F37" s="2" t="s">
        <v>100</v>
      </c>
      <c r="G37" s="2">
        <v>3</v>
      </c>
      <c r="H37" s="4" t="s">
        <v>328</v>
      </c>
      <c r="I37" s="4" t="s">
        <v>329</v>
      </c>
      <c r="J37" s="2"/>
      <c r="K37" s="2" t="s">
        <v>55</v>
      </c>
      <c r="L37" s="2" t="s">
        <v>71</v>
      </c>
      <c r="M37" s="2"/>
      <c r="N37" s="2" t="s">
        <v>146</v>
      </c>
      <c r="O37" s="2" t="s">
        <v>147</v>
      </c>
      <c r="P37" s="2" t="s">
        <v>71</v>
      </c>
      <c r="Q37" s="2" t="s">
        <v>60</v>
      </c>
      <c r="R37" s="5">
        <v>4.3444444444444441</v>
      </c>
      <c r="S37" s="2" t="s">
        <v>61</v>
      </c>
      <c r="T37" s="2" t="s">
        <v>189</v>
      </c>
    </row>
    <row r="38" spans="1:20" ht="22.8" customHeight="1" x14ac:dyDescent="0.3">
      <c r="A38" s="2" t="s">
        <v>330</v>
      </c>
      <c r="B38" s="2" t="s">
        <v>167</v>
      </c>
      <c r="C38" s="2" t="s">
        <v>168</v>
      </c>
      <c r="D38" s="3">
        <v>46154.663391203707</v>
      </c>
      <c r="E38" s="3">
        <v>46176.434432870374</v>
      </c>
      <c r="F38" s="2" t="s">
        <v>100</v>
      </c>
      <c r="G38" s="2">
        <v>3</v>
      </c>
      <c r="H38" s="4" t="s">
        <v>331</v>
      </c>
      <c r="I38" s="4" t="s">
        <v>332</v>
      </c>
      <c r="J38" s="2"/>
      <c r="K38" s="2" t="s">
        <v>55</v>
      </c>
      <c r="L38" s="2" t="s">
        <v>71</v>
      </c>
      <c r="M38" s="2"/>
      <c r="N38" s="2" t="s">
        <v>146</v>
      </c>
      <c r="O38" s="2" t="s">
        <v>147</v>
      </c>
      <c r="P38" s="2" t="s">
        <v>71</v>
      </c>
      <c r="Q38" s="2" t="s">
        <v>60</v>
      </c>
      <c r="R38" s="5">
        <v>4.8013888888888889</v>
      </c>
      <c r="S38" s="2" t="s">
        <v>61</v>
      </c>
      <c r="T38" s="2" t="s">
        <v>189</v>
      </c>
    </row>
    <row r="39" spans="1:20" ht="22.8" customHeight="1" x14ac:dyDescent="0.3">
      <c r="A39" s="2" t="s">
        <v>333</v>
      </c>
      <c r="B39" s="2" t="s">
        <v>167</v>
      </c>
      <c r="C39" s="2" t="s">
        <v>168</v>
      </c>
      <c r="D39" s="3">
        <v>46154.677812499998</v>
      </c>
      <c r="E39" s="3">
        <v>46175.302002314813</v>
      </c>
      <c r="F39" s="2" t="s">
        <v>100</v>
      </c>
      <c r="G39" s="2">
        <v>3</v>
      </c>
      <c r="H39" s="4" t="s">
        <v>334</v>
      </c>
      <c r="I39" s="4" t="s">
        <v>335</v>
      </c>
      <c r="J39" s="2"/>
      <c r="K39" s="2" t="s">
        <v>55</v>
      </c>
      <c r="L39" s="2" t="s">
        <v>71</v>
      </c>
      <c r="M39" s="2"/>
      <c r="N39" s="2" t="s">
        <v>146</v>
      </c>
      <c r="O39" s="2" t="s">
        <v>147</v>
      </c>
      <c r="P39" s="2" t="s">
        <v>71</v>
      </c>
      <c r="Q39" s="2" t="s">
        <v>60</v>
      </c>
      <c r="R39" s="5">
        <v>4.2479166666666668</v>
      </c>
      <c r="S39" s="2" t="s">
        <v>61</v>
      </c>
      <c r="T39" s="2" t="s">
        <v>189</v>
      </c>
    </row>
    <row r="40" spans="1:20" ht="22.8" customHeight="1" x14ac:dyDescent="0.3">
      <c r="A40" s="2" t="s">
        <v>336</v>
      </c>
      <c r="B40" s="2" t="s">
        <v>167</v>
      </c>
      <c r="C40" s="2" t="s">
        <v>168</v>
      </c>
      <c r="D40" s="3">
        <v>46154.689467592594</v>
      </c>
      <c r="E40" s="3">
        <v>46174.591643518521</v>
      </c>
      <c r="F40" s="2" t="s">
        <v>100</v>
      </c>
      <c r="G40" s="2">
        <v>3</v>
      </c>
      <c r="H40" s="4" t="s">
        <v>337</v>
      </c>
      <c r="I40" s="4" t="s">
        <v>338</v>
      </c>
      <c r="J40" s="2"/>
      <c r="K40" s="2" t="s">
        <v>55</v>
      </c>
      <c r="L40" s="2" t="s">
        <v>71</v>
      </c>
      <c r="M40" s="2"/>
      <c r="N40" s="2" t="s">
        <v>146</v>
      </c>
      <c r="O40" s="2" t="s">
        <v>147</v>
      </c>
      <c r="P40" s="2" t="s">
        <v>71</v>
      </c>
      <c r="Q40" s="2" t="s">
        <v>60</v>
      </c>
      <c r="R40" s="5">
        <v>4.0569444444444445</v>
      </c>
      <c r="S40" s="2" t="s">
        <v>61</v>
      </c>
      <c r="T40" s="2" t="s">
        <v>189</v>
      </c>
    </row>
    <row r="41" spans="1:20" ht="22.8" customHeight="1" x14ac:dyDescent="0.3">
      <c r="A41" s="2" t="s">
        <v>339</v>
      </c>
      <c r="B41" s="2" t="s">
        <v>167</v>
      </c>
      <c r="C41" s="2" t="s">
        <v>168</v>
      </c>
      <c r="D41" s="3">
        <v>46154.693842592591</v>
      </c>
      <c r="E41" s="3">
        <v>46175.301238425927</v>
      </c>
      <c r="F41" s="2" t="s">
        <v>100</v>
      </c>
      <c r="G41" s="2">
        <v>3</v>
      </c>
      <c r="H41" s="4" t="s">
        <v>340</v>
      </c>
      <c r="I41" s="4" t="s">
        <v>341</v>
      </c>
      <c r="J41" s="2"/>
      <c r="K41" s="2" t="s">
        <v>55</v>
      </c>
      <c r="L41" s="2" t="s">
        <v>71</v>
      </c>
      <c r="M41" s="2"/>
      <c r="N41" s="2" t="s">
        <v>146</v>
      </c>
      <c r="O41" s="2" t="s">
        <v>147</v>
      </c>
      <c r="P41" s="2" t="s">
        <v>71</v>
      </c>
      <c r="Q41" s="2" t="s">
        <v>60</v>
      </c>
      <c r="R41" s="5">
        <v>6.2020833333333334</v>
      </c>
      <c r="S41" s="2" t="s">
        <v>61</v>
      </c>
      <c r="T41" s="2" t="s">
        <v>189</v>
      </c>
    </row>
    <row r="42" spans="1:20" ht="22.8" customHeight="1" x14ac:dyDescent="0.3">
      <c r="A42" s="2" t="s">
        <v>342</v>
      </c>
      <c r="B42" s="2" t="s">
        <v>167</v>
      </c>
      <c r="C42" s="2" t="s">
        <v>168</v>
      </c>
      <c r="D42" s="3">
        <v>46154.702187499999</v>
      </c>
      <c r="E42" s="3">
        <v>46175.300428240742</v>
      </c>
      <c r="F42" s="2" t="s">
        <v>100</v>
      </c>
      <c r="G42" s="2">
        <v>3</v>
      </c>
      <c r="H42" s="4" t="s">
        <v>343</v>
      </c>
      <c r="I42" s="4" t="s">
        <v>344</v>
      </c>
      <c r="J42" s="2"/>
      <c r="K42" s="2" t="s">
        <v>55</v>
      </c>
      <c r="L42" s="2" t="s">
        <v>71</v>
      </c>
      <c r="M42" s="2"/>
      <c r="N42" s="2" t="s">
        <v>146</v>
      </c>
      <c r="O42" s="2" t="s">
        <v>147</v>
      </c>
      <c r="P42" s="2" t="s">
        <v>71</v>
      </c>
      <c r="Q42" s="2" t="s">
        <v>60</v>
      </c>
      <c r="R42" s="5">
        <v>6.1937499999999996</v>
      </c>
      <c r="S42" s="2" t="s">
        <v>61</v>
      </c>
      <c r="T42" s="2" t="s">
        <v>189</v>
      </c>
    </row>
    <row r="43" spans="1:20" ht="22.8" customHeight="1" x14ac:dyDescent="0.3">
      <c r="A43" s="2" t="s">
        <v>345</v>
      </c>
      <c r="B43" s="2" t="s">
        <v>167</v>
      </c>
      <c r="C43" s="2" t="s">
        <v>168</v>
      </c>
      <c r="D43" s="3">
        <v>46154.704548611109</v>
      </c>
      <c r="E43" s="3">
        <v>46175.298171296294</v>
      </c>
      <c r="F43" s="2" t="s">
        <v>100</v>
      </c>
      <c r="G43" s="2">
        <v>3</v>
      </c>
      <c r="H43" s="4" t="s">
        <v>346</v>
      </c>
      <c r="I43" s="4" t="s">
        <v>347</v>
      </c>
      <c r="J43" s="2"/>
      <c r="K43" s="2" t="s">
        <v>55</v>
      </c>
      <c r="L43" s="2" t="s">
        <v>71</v>
      </c>
      <c r="M43" s="2"/>
      <c r="N43" s="2" t="s">
        <v>146</v>
      </c>
      <c r="O43" s="2" t="s">
        <v>147</v>
      </c>
      <c r="P43" s="2" t="s">
        <v>71</v>
      </c>
      <c r="Q43" s="2" t="s">
        <v>60</v>
      </c>
      <c r="R43" s="5">
        <v>6.1916666666666664</v>
      </c>
      <c r="S43" s="2" t="s">
        <v>61</v>
      </c>
      <c r="T43" s="2" t="s">
        <v>189</v>
      </c>
    </row>
    <row r="44" spans="1:20" ht="22.8" customHeight="1" x14ac:dyDescent="0.3">
      <c r="A44" s="2" t="s">
        <v>348</v>
      </c>
      <c r="B44" s="2" t="s">
        <v>167</v>
      </c>
      <c r="C44" s="2" t="s">
        <v>168</v>
      </c>
      <c r="D44" s="3">
        <v>46154.710162037038</v>
      </c>
      <c r="E44" s="3">
        <v>46176.433530092596</v>
      </c>
      <c r="F44" s="2" t="s">
        <v>100</v>
      </c>
      <c r="G44" s="2">
        <v>3</v>
      </c>
      <c r="H44" s="4" t="s">
        <v>349</v>
      </c>
      <c r="I44" s="4" t="s">
        <v>350</v>
      </c>
      <c r="J44" s="2"/>
      <c r="K44" s="2" t="s">
        <v>55</v>
      </c>
      <c r="L44" s="2" t="s">
        <v>71</v>
      </c>
      <c r="M44" s="2"/>
      <c r="N44" s="2" t="s">
        <v>146</v>
      </c>
      <c r="O44" s="2" t="s">
        <v>147</v>
      </c>
      <c r="P44" s="2" t="s">
        <v>71</v>
      </c>
      <c r="Q44" s="2" t="s">
        <v>60</v>
      </c>
      <c r="R44" s="5">
        <v>6.7236111111111114</v>
      </c>
      <c r="S44" s="2" t="s">
        <v>61</v>
      </c>
      <c r="T44" s="2" t="s">
        <v>189</v>
      </c>
    </row>
    <row r="45" spans="1:20" ht="22.8" customHeight="1" x14ac:dyDescent="0.3">
      <c r="A45" s="2" t="s">
        <v>351</v>
      </c>
      <c r="B45" s="2" t="s">
        <v>167</v>
      </c>
      <c r="C45" s="2" t="s">
        <v>168</v>
      </c>
      <c r="D45" s="3">
        <v>46154.712638888886</v>
      </c>
      <c r="E45" s="3">
        <v>46176.432534722226</v>
      </c>
      <c r="F45" s="2" t="s">
        <v>100</v>
      </c>
      <c r="G45" s="2">
        <v>3</v>
      </c>
      <c r="H45" s="4" t="s">
        <v>352</v>
      </c>
      <c r="I45" s="4" t="s">
        <v>353</v>
      </c>
      <c r="J45" s="2"/>
      <c r="K45" s="2" t="s">
        <v>55</v>
      </c>
      <c r="L45" s="2" t="s">
        <v>71</v>
      </c>
      <c r="M45" s="2"/>
      <c r="N45" s="2" t="s">
        <v>146</v>
      </c>
      <c r="O45" s="2" t="s">
        <v>147</v>
      </c>
      <c r="P45" s="2" t="s">
        <v>71</v>
      </c>
      <c r="Q45" s="2" t="s">
        <v>60</v>
      </c>
      <c r="R45" s="5">
        <v>6.7201388888888891</v>
      </c>
      <c r="S45" s="2" t="s">
        <v>61</v>
      </c>
      <c r="T45" s="2" t="s">
        <v>189</v>
      </c>
    </row>
    <row r="46" spans="1:20" ht="22.8" customHeight="1" x14ac:dyDescent="0.3">
      <c r="A46" s="2" t="s">
        <v>354</v>
      </c>
      <c r="B46" s="2" t="s">
        <v>167</v>
      </c>
      <c r="C46" s="2" t="s">
        <v>168</v>
      </c>
      <c r="D46" s="3">
        <v>46155.341562499998</v>
      </c>
      <c r="E46" s="3">
        <v>46175.299062500002</v>
      </c>
      <c r="F46" s="2" t="s">
        <v>100</v>
      </c>
      <c r="G46" s="2">
        <v>3</v>
      </c>
      <c r="H46" s="4" t="s">
        <v>355</v>
      </c>
      <c r="I46" s="4" t="s">
        <v>356</v>
      </c>
      <c r="J46" s="2"/>
      <c r="K46" s="2" t="s">
        <v>55</v>
      </c>
      <c r="L46" s="2" t="s">
        <v>71</v>
      </c>
      <c r="M46" s="2"/>
      <c r="N46" s="2" t="s">
        <v>146</v>
      </c>
      <c r="O46" s="2" t="s">
        <v>147</v>
      </c>
      <c r="P46" s="2" t="s">
        <v>71</v>
      </c>
      <c r="Q46" s="2" t="s">
        <v>60</v>
      </c>
      <c r="R46" s="5">
        <v>6.1173611111111112</v>
      </c>
      <c r="S46" s="2" t="s">
        <v>61</v>
      </c>
      <c r="T46" s="2" t="s">
        <v>189</v>
      </c>
    </row>
    <row r="47" spans="1:20" ht="22.8" customHeight="1" x14ac:dyDescent="0.3">
      <c r="A47" s="2" t="s">
        <v>357</v>
      </c>
      <c r="B47" s="2" t="s">
        <v>167</v>
      </c>
      <c r="C47" s="2" t="s">
        <v>168</v>
      </c>
      <c r="D47" s="3">
        <v>46155.348368055558</v>
      </c>
      <c r="E47" s="3">
        <v>46175.297303240739</v>
      </c>
      <c r="F47" s="2" t="s">
        <v>100</v>
      </c>
      <c r="G47" s="2">
        <v>3</v>
      </c>
      <c r="H47" s="4" t="s">
        <v>358</v>
      </c>
      <c r="I47" s="4" t="s">
        <v>359</v>
      </c>
      <c r="J47" s="2"/>
      <c r="K47" s="2" t="s">
        <v>55</v>
      </c>
      <c r="L47" s="2" t="s">
        <v>71</v>
      </c>
      <c r="M47" s="2"/>
      <c r="N47" s="2" t="s">
        <v>146</v>
      </c>
      <c r="O47" s="2" t="s">
        <v>147</v>
      </c>
      <c r="P47" s="2" t="s">
        <v>71</v>
      </c>
      <c r="Q47" s="2" t="s">
        <v>60</v>
      </c>
      <c r="R47" s="5">
        <v>6.1104166666666666</v>
      </c>
      <c r="S47" s="2" t="s">
        <v>61</v>
      </c>
      <c r="T47" s="2" t="s">
        <v>189</v>
      </c>
    </row>
    <row r="48" spans="1:20" ht="22.8" customHeight="1" x14ac:dyDescent="0.3">
      <c r="A48" s="2" t="s">
        <v>360</v>
      </c>
      <c r="B48" s="2" t="s">
        <v>243</v>
      </c>
      <c r="C48" s="2" t="s">
        <v>244</v>
      </c>
      <c r="D48" s="3">
        <v>46155.465694444443</v>
      </c>
      <c r="E48" s="3">
        <v>46182.423495370371</v>
      </c>
      <c r="F48" s="2" t="s">
        <v>150</v>
      </c>
      <c r="G48" s="2">
        <v>3</v>
      </c>
      <c r="H48" s="2" t="s">
        <v>361</v>
      </c>
      <c r="I48" s="4" t="s">
        <v>362</v>
      </c>
      <c r="J48" s="2"/>
      <c r="K48" s="2" t="s">
        <v>76</v>
      </c>
      <c r="L48" s="2" t="s">
        <v>137</v>
      </c>
      <c r="M48" s="2"/>
      <c r="N48" s="2" t="s">
        <v>137</v>
      </c>
      <c r="O48" s="2" t="s">
        <v>151</v>
      </c>
      <c r="P48" s="2" t="s">
        <v>137</v>
      </c>
      <c r="Q48" s="2" t="s">
        <v>60</v>
      </c>
      <c r="R48" s="5">
        <v>8.2708333333333339</v>
      </c>
      <c r="S48" s="2" t="s">
        <v>61</v>
      </c>
      <c r="T48" s="2" t="s">
        <v>62</v>
      </c>
    </row>
    <row r="49" spans="1:20" ht="22.8" customHeight="1" x14ac:dyDescent="0.3">
      <c r="A49" s="2" t="s">
        <v>363</v>
      </c>
      <c r="B49" s="2" t="s">
        <v>210</v>
      </c>
      <c r="C49" s="2" t="s">
        <v>211</v>
      </c>
      <c r="D49" s="3">
        <v>46155.581157407411</v>
      </c>
      <c r="E49" s="3">
        <v>46175.427037037036</v>
      </c>
      <c r="F49" s="2" t="s">
        <v>77</v>
      </c>
      <c r="G49" s="2">
        <v>3</v>
      </c>
      <c r="H49" s="2" t="s">
        <v>364</v>
      </c>
      <c r="I49" s="4" t="s">
        <v>204</v>
      </c>
      <c r="J49" s="2"/>
      <c r="K49" s="2" t="s">
        <v>55</v>
      </c>
      <c r="L49" s="2" t="s">
        <v>78</v>
      </c>
      <c r="M49" s="2"/>
      <c r="N49" s="2" t="s">
        <v>78</v>
      </c>
      <c r="O49" s="2" t="s">
        <v>103</v>
      </c>
      <c r="P49" s="2" t="s">
        <v>78</v>
      </c>
      <c r="Q49" s="2" t="s">
        <v>60</v>
      </c>
      <c r="R49" s="5">
        <v>5.9604166666666663</v>
      </c>
      <c r="S49" s="2" t="s">
        <v>61</v>
      </c>
      <c r="T49" s="2" t="s">
        <v>62</v>
      </c>
    </row>
    <row r="50" spans="1:20" ht="22.8" customHeight="1" x14ac:dyDescent="0.3">
      <c r="A50" s="2" t="s">
        <v>365</v>
      </c>
      <c r="B50" s="2" t="s">
        <v>214</v>
      </c>
      <c r="C50" s="2" t="s">
        <v>215</v>
      </c>
      <c r="D50" s="3">
        <v>46155.701828703706</v>
      </c>
      <c r="E50" s="3">
        <v>46175.529039351852</v>
      </c>
      <c r="F50" s="2" t="s">
        <v>73</v>
      </c>
      <c r="G50" s="2">
        <v>2</v>
      </c>
      <c r="H50" s="2" t="s">
        <v>366</v>
      </c>
      <c r="I50" s="4" t="s">
        <v>367</v>
      </c>
      <c r="J50" s="2"/>
      <c r="K50" s="2" t="s">
        <v>67</v>
      </c>
      <c r="L50" s="2" t="s">
        <v>58</v>
      </c>
      <c r="M50" s="2"/>
      <c r="N50" s="2" t="s">
        <v>58</v>
      </c>
      <c r="O50" s="2" t="s">
        <v>74</v>
      </c>
      <c r="P50" s="2" t="s">
        <v>58</v>
      </c>
      <c r="Q50" s="2" t="s">
        <v>60</v>
      </c>
      <c r="R50" s="5">
        <v>5.9527777777777775</v>
      </c>
      <c r="S50" s="2" t="s">
        <v>61</v>
      </c>
      <c r="T50" s="2" t="s">
        <v>62</v>
      </c>
    </row>
    <row r="51" spans="1:20" ht="22.8" customHeight="1" x14ac:dyDescent="0.3">
      <c r="A51" s="2" t="s">
        <v>368</v>
      </c>
      <c r="B51" s="2" t="s">
        <v>369</v>
      </c>
      <c r="C51" s="2" t="s">
        <v>370</v>
      </c>
      <c r="D51" s="3">
        <v>46156.417349537034</v>
      </c>
      <c r="E51" s="3">
        <v>46174.350231481483</v>
      </c>
      <c r="F51" s="2" t="s">
        <v>77</v>
      </c>
      <c r="G51" s="2">
        <v>3</v>
      </c>
      <c r="H51" s="2" t="s">
        <v>371</v>
      </c>
      <c r="I51" s="4" t="s">
        <v>180</v>
      </c>
      <c r="J51" s="2"/>
      <c r="K51" s="2" t="s">
        <v>76</v>
      </c>
      <c r="L51" s="2" t="s">
        <v>81</v>
      </c>
      <c r="M51" s="2"/>
      <c r="N51" s="2" t="s">
        <v>81</v>
      </c>
      <c r="O51" s="2" t="s">
        <v>90</v>
      </c>
      <c r="P51" s="2" t="s">
        <v>81</v>
      </c>
      <c r="Q51" s="2" t="s">
        <v>60</v>
      </c>
      <c r="R51" s="5">
        <v>5.1833333333333336</v>
      </c>
      <c r="S51" s="2" t="s">
        <v>61</v>
      </c>
      <c r="T51" s="2" t="s">
        <v>62</v>
      </c>
    </row>
    <row r="52" spans="1:20" ht="22.8" customHeight="1" x14ac:dyDescent="0.3">
      <c r="A52" s="2" t="s">
        <v>1395</v>
      </c>
      <c r="B52" s="2" t="s">
        <v>190</v>
      </c>
      <c r="C52" s="2" t="s">
        <v>191</v>
      </c>
      <c r="D52" s="3">
        <v>46156.531840277778</v>
      </c>
      <c r="E52" s="3">
        <v>46198.3906712963</v>
      </c>
      <c r="F52" s="2" t="s">
        <v>77</v>
      </c>
      <c r="G52" s="2">
        <v>3</v>
      </c>
      <c r="H52" s="2" t="s">
        <v>1396</v>
      </c>
      <c r="I52" s="4" t="s">
        <v>1397</v>
      </c>
      <c r="J52" s="2"/>
      <c r="K52" s="2" t="s">
        <v>55</v>
      </c>
      <c r="L52" s="2" t="s">
        <v>78</v>
      </c>
      <c r="M52" s="2"/>
      <c r="N52" s="2" t="s">
        <v>78</v>
      </c>
      <c r="O52" s="2" t="s">
        <v>103</v>
      </c>
      <c r="P52" s="2" t="s">
        <v>78</v>
      </c>
      <c r="Q52" s="2" t="s">
        <v>60</v>
      </c>
      <c r="R52" s="5">
        <v>6.9291666666666663</v>
      </c>
      <c r="S52" s="2" t="s">
        <v>61</v>
      </c>
      <c r="T52" s="2" t="s">
        <v>62</v>
      </c>
    </row>
    <row r="53" spans="1:20" ht="22.8" customHeight="1" x14ac:dyDescent="0.3">
      <c r="A53" s="2" t="s">
        <v>375</v>
      </c>
      <c r="B53" s="2" t="s">
        <v>198</v>
      </c>
      <c r="C53" s="2" t="s">
        <v>199</v>
      </c>
      <c r="D53" s="3">
        <v>46157.372071759259</v>
      </c>
      <c r="E53" s="3">
        <v>46196.38958333333</v>
      </c>
      <c r="F53" s="2" t="s">
        <v>118</v>
      </c>
      <c r="G53" s="2">
        <v>3</v>
      </c>
      <c r="H53" s="4" t="s">
        <v>376</v>
      </c>
      <c r="I53" s="4" t="s">
        <v>1398</v>
      </c>
      <c r="J53" s="2"/>
      <c r="K53" s="2" t="s">
        <v>55</v>
      </c>
      <c r="L53" s="2" t="s">
        <v>78</v>
      </c>
      <c r="M53" s="2"/>
      <c r="N53" s="2" t="s">
        <v>78</v>
      </c>
      <c r="O53" s="2" t="s">
        <v>103</v>
      </c>
      <c r="P53" s="2" t="s">
        <v>78</v>
      </c>
      <c r="Q53" s="2" t="s">
        <v>60</v>
      </c>
      <c r="R53" s="5">
        <v>1.0916666666666666</v>
      </c>
      <c r="S53" s="2" t="s">
        <v>61</v>
      </c>
      <c r="T53" s="2" t="s">
        <v>62</v>
      </c>
    </row>
    <row r="54" spans="1:20" ht="22.8" customHeight="1" x14ac:dyDescent="0.3">
      <c r="A54" s="2" t="s">
        <v>377</v>
      </c>
      <c r="B54" s="2" t="s">
        <v>378</v>
      </c>
      <c r="C54" s="2" t="s">
        <v>379</v>
      </c>
      <c r="D54" s="3">
        <v>46157.535914351851</v>
      </c>
      <c r="E54" s="3">
        <v>46195.601030092592</v>
      </c>
      <c r="F54" s="2" t="s">
        <v>88</v>
      </c>
      <c r="G54" s="2">
        <v>3</v>
      </c>
      <c r="H54" s="2" t="s">
        <v>380</v>
      </c>
      <c r="I54" s="4" t="s">
        <v>1399</v>
      </c>
      <c r="J54" s="2"/>
      <c r="K54" s="2" t="s">
        <v>55</v>
      </c>
      <c r="L54" s="2" t="s">
        <v>78</v>
      </c>
      <c r="M54" s="2"/>
      <c r="N54" s="2" t="s">
        <v>78</v>
      </c>
      <c r="O54" s="2" t="s">
        <v>94</v>
      </c>
      <c r="P54" s="2" t="s">
        <v>78</v>
      </c>
      <c r="Q54" s="2" t="s">
        <v>60</v>
      </c>
      <c r="R54" s="5">
        <v>7.5951388888888891</v>
      </c>
      <c r="S54" s="2" t="s">
        <v>61</v>
      </c>
      <c r="T54" s="2" t="s">
        <v>62</v>
      </c>
    </row>
    <row r="55" spans="1:20" ht="22.8" customHeight="1" x14ac:dyDescent="0.3">
      <c r="A55" s="2" t="s">
        <v>1400</v>
      </c>
      <c r="B55" s="2" t="s">
        <v>1401</v>
      </c>
      <c r="C55" s="2" t="s">
        <v>1402</v>
      </c>
      <c r="D55" s="3">
        <v>46161.461296296293</v>
      </c>
      <c r="E55" s="3">
        <v>46192.664641203701</v>
      </c>
      <c r="F55" s="2" t="s">
        <v>121</v>
      </c>
      <c r="G55" s="2">
        <v>2</v>
      </c>
      <c r="H55" s="2" t="s">
        <v>122</v>
      </c>
      <c r="I55" s="4" t="s">
        <v>1403</v>
      </c>
      <c r="J55" s="2"/>
      <c r="K55" s="2" t="s">
        <v>76</v>
      </c>
      <c r="L55" s="2" t="s">
        <v>81</v>
      </c>
      <c r="M55" s="2"/>
      <c r="N55" s="2" t="s">
        <v>81</v>
      </c>
      <c r="O55" s="2" t="s">
        <v>90</v>
      </c>
      <c r="P55" s="2" t="s">
        <v>81</v>
      </c>
      <c r="Q55" s="2" t="s">
        <v>60</v>
      </c>
      <c r="R55" s="5">
        <v>10.265972222222222</v>
      </c>
      <c r="S55" s="2" t="s">
        <v>61</v>
      </c>
      <c r="T55" s="2" t="s">
        <v>62</v>
      </c>
    </row>
    <row r="56" spans="1:20" ht="22.8" customHeight="1" x14ac:dyDescent="0.3">
      <c r="A56" s="2" t="s">
        <v>1404</v>
      </c>
      <c r="B56" s="2" t="s">
        <v>1405</v>
      </c>
      <c r="C56" s="2" t="s">
        <v>1406</v>
      </c>
      <c r="D56" s="3">
        <v>46161.527557870373</v>
      </c>
      <c r="E56" s="3">
        <v>46184.66138888889</v>
      </c>
      <c r="F56" s="2" t="s">
        <v>88</v>
      </c>
      <c r="G56" s="2">
        <v>2</v>
      </c>
      <c r="H56" s="2" t="s">
        <v>1407</v>
      </c>
      <c r="I56" s="4" t="s">
        <v>1408</v>
      </c>
      <c r="J56" s="2"/>
      <c r="K56" s="2" t="s">
        <v>76</v>
      </c>
      <c r="L56" s="2" t="s">
        <v>81</v>
      </c>
      <c r="M56" s="2"/>
      <c r="N56" s="2" t="s">
        <v>81</v>
      </c>
      <c r="O56" s="2" t="s">
        <v>89</v>
      </c>
      <c r="P56" s="2" t="s">
        <v>81</v>
      </c>
      <c r="Q56" s="2" t="s">
        <v>60</v>
      </c>
      <c r="R56" s="5">
        <v>7.5715277777777779</v>
      </c>
      <c r="S56" s="2" t="s">
        <v>61</v>
      </c>
      <c r="T56" s="2" t="s">
        <v>62</v>
      </c>
    </row>
    <row r="57" spans="1:20" ht="22.8" customHeight="1" x14ac:dyDescent="0.3">
      <c r="A57" s="2" t="s">
        <v>390</v>
      </c>
      <c r="B57" s="2" t="s">
        <v>391</v>
      </c>
      <c r="C57" s="2" t="s">
        <v>392</v>
      </c>
      <c r="D57" s="3">
        <v>46161.641388888886</v>
      </c>
      <c r="E57" s="3">
        <v>46182.393703703703</v>
      </c>
      <c r="F57" s="2" t="s">
        <v>77</v>
      </c>
      <c r="G57" s="2">
        <v>2</v>
      </c>
      <c r="H57" s="2" t="s">
        <v>393</v>
      </c>
      <c r="I57" s="4" t="s">
        <v>179</v>
      </c>
      <c r="J57" s="2"/>
      <c r="K57" s="2" t="s">
        <v>55</v>
      </c>
      <c r="L57" s="2" t="s">
        <v>81</v>
      </c>
      <c r="M57" s="2"/>
      <c r="N57" s="2" t="s">
        <v>78</v>
      </c>
      <c r="O57" s="2" t="s">
        <v>94</v>
      </c>
      <c r="P57" s="2" t="s">
        <v>81</v>
      </c>
      <c r="Q57" s="2" t="s">
        <v>60</v>
      </c>
      <c r="R57" s="5">
        <v>6.3152777777777782</v>
      </c>
      <c r="S57" s="2" t="s">
        <v>61</v>
      </c>
      <c r="T57" s="2" t="s">
        <v>62</v>
      </c>
    </row>
    <row r="58" spans="1:20" ht="22.8" customHeight="1" x14ac:dyDescent="0.3">
      <c r="A58" s="2" t="s">
        <v>394</v>
      </c>
      <c r="B58" s="2" t="s">
        <v>395</v>
      </c>
      <c r="C58" s="2" t="s">
        <v>396</v>
      </c>
      <c r="D58" s="3">
        <v>46161.713333333333</v>
      </c>
      <c r="E58" s="3">
        <v>46182.394421296296</v>
      </c>
      <c r="F58" s="2" t="s">
        <v>123</v>
      </c>
      <c r="G58" s="2">
        <v>3</v>
      </c>
      <c r="H58" s="2" t="s">
        <v>397</v>
      </c>
      <c r="I58" s="4" t="s">
        <v>398</v>
      </c>
      <c r="J58" s="2"/>
      <c r="K58" s="2" t="s">
        <v>55</v>
      </c>
      <c r="L58" s="2" t="s">
        <v>81</v>
      </c>
      <c r="M58" s="2"/>
      <c r="N58" s="2" t="s">
        <v>78</v>
      </c>
      <c r="O58" s="2" t="s">
        <v>94</v>
      </c>
      <c r="P58" s="2" t="s">
        <v>81</v>
      </c>
      <c r="Q58" s="2" t="s">
        <v>60</v>
      </c>
      <c r="R58" s="5">
        <v>6.1743055555555557</v>
      </c>
      <c r="S58" s="2" t="s">
        <v>61</v>
      </c>
      <c r="T58" s="2" t="s">
        <v>62</v>
      </c>
    </row>
    <row r="59" spans="1:20" ht="22.8" customHeight="1" x14ac:dyDescent="0.3">
      <c r="A59" s="2" t="s">
        <v>1409</v>
      </c>
      <c r="B59" s="2" t="s">
        <v>151</v>
      </c>
      <c r="C59" s="2" t="s">
        <v>157</v>
      </c>
      <c r="D59" s="3">
        <v>46162.41133101852</v>
      </c>
      <c r="E59" s="3">
        <v>46198.392835648148</v>
      </c>
      <c r="F59" s="2" t="s">
        <v>77</v>
      </c>
      <c r="G59" s="2">
        <v>3</v>
      </c>
      <c r="H59" s="2" t="s">
        <v>1410</v>
      </c>
      <c r="I59" s="4" t="s">
        <v>204</v>
      </c>
      <c r="J59" s="2"/>
      <c r="K59" s="2" t="s">
        <v>55</v>
      </c>
      <c r="L59" s="2" t="s">
        <v>78</v>
      </c>
      <c r="M59" s="2"/>
      <c r="N59" s="2" t="s">
        <v>78</v>
      </c>
      <c r="O59" s="2" t="s">
        <v>103</v>
      </c>
      <c r="P59" s="2" t="s">
        <v>78</v>
      </c>
      <c r="Q59" s="2" t="s">
        <v>60</v>
      </c>
      <c r="R59" s="5">
        <v>11.356944444444444</v>
      </c>
      <c r="S59" s="2" t="s">
        <v>61</v>
      </c>
      <c r="T59" s="2" t="s">
        <v>62</v>
      </c>
    </row>
    <row r="60" spans="1:20" ht="22.8" customHeight="1" x14ac:dyDescent="0.3">
      <c r="A60" s="2" t="s">
        <v>399</v>
      </c>
      <c r="B60" s="2" t="s">
        <v>400</v>
      </c>
      <c r="C60" s="2" t="s">
        <v>401</v>
      </c>
      <c r="D60" s="3">
        <v>46162.478807870371</v>
      </c>
      <c r="E60" s="3">
        <v>46176.452662037038</v>
      </c>
      <c r="F60" s="2" t="s">
        <v>73</v>
      </c>
      <c r="G60" s="2">
        <v>2</v>
      </c>
      <c r="H60" s="2" t="s">
        <v>402</v>
      </c>
      <c r="I60" s="4" t="s">
        <v>403</v>
      </c>
      <c r="J60" s="2"/>
      <c r="K60" s="2" t="s">
        <v>55</v>
      </c>
      <c r="L60" s="2" t="s">
        <v>58</v>
      </c>
      <c r="M60" s="2"/>
      <c r="N60" s="2" t="s">
        <v>58</v>
      </c>
      <c r="O60" s="2" t="s">
        <v>74</v>
      </c>
      <c r="P60" s="2" t="s">
        <v>58</v>
      </c>
      <c r="Q60" s="2" t="s">
        <v>60</v>
      </c>
      <c r="R60" s="5">
        <v>4.3493055555555555</v>
      </c>
      <c r="S60" s="2" t="s">
        <v>61</v>
      </c>
      <c r="T60" s="2" t="s">
        <v>62</v>
      </c>
    </row>
    <row r="61" spans="1:20" ht="22.8" customHeight="1" x14ac:dyDescent="0.3">
      <c r="A61" s="2" t="s">
        <v>406</v>
      </c>
      <c r="B61" s="2" t="s">
        <v>222</v>
      </c>
      <c r="C61" s="2" t="s">
        <v>223</v>
      </c>
      <c r="D61" s="3">
        <v>46162.705196759256</v>
      </c>
      <c r="E61" s="3">
        <v>46175.442187499997</v>
      </c>
      <c r="F61" s="2" t="s">
        <v>123</v>
      </c>
      <c r="G61" s="2">
        <v>2</v>
      </c>
      <c r="H61" s="2" t="s">
        <v>133</v>
      </c>
      <c r="I61" s="4" t="s">
        <v>407</v>
      </c>
      <c r="J61" s="2"/>
      <c r="K61" s="2" t="s">
        <v>76</v>
      </c>
      <c r="L61" s="2" t="s">
        <v>81</v>
      </c>
      <c r="M61" s="2"/>
      <c r="N61" s="2" t="s">
        <v>81</v>
      </c>
      <c r="O61" s="2" t="s">
        <v>90</v>
      </c>
      <c r="P61" s="2" t="s">
        <v>81</v>
      </c>
      <c r="Q61" s="2" t="s">
        <v>60</v>
      </c>
      <c r="R61" s="5">
        <v>3.6749999999999998</v>
      </c>
      <c r="S61" s="2" t="s">
        <v>61</v>
      </c>
      <c r="T61" s="2" t="s">
        <v>62</v>
      </c>
    </row>
    <row r="62" spans="1:20" ht="22.8" customHeight="1" x14ac:dyDescent="0.3">
      <c r="A62" s="2" t="s">
        <v>408</v>
      </c>
      <c r="B62" s="2" t="s">
        <v>409</v>
      </c>
      <c r="C62" s="2" t="s">
        <v>410</v>
      </c>
      <c r="D62" s="3">
        <v>46162.711458333331</v>
      </c>
      <c r="E62" s="3">
        <v>46183.603715277779</v>
      </c>
      <c r="F62" s="2" t="s">
        <v>150</v>
      </c>
      <c r="G62" s="2">
        <v>3</v>
      </c>
      <c r="H62" s="2" t="s">
        <v>411</v>
      </c>
      <c r="I62" s="2"/>
      <c r="J62" s="2"/>
      <c r="K62" s="2" t="s">
        <v>76</v>
      </c>
      <c r="L62" s="2" t="s">
        <v>137</v>
      </c>
      <c r="M62" s="2"/>
      <c r="N62" s="2" t="s">
        <v>71</v>
      </c>
      <c r="O62" s="2" t="s">
        <v>306</v>
      </c>
      <c r="P62" s="2" t="s">
        <v>137</v>
      </c>
      <c r="Q62" s="2" t="s">
        <v>60</v>
      </c>
      <c r="R62" s="5">
        <v>6.4548611111111107</v>
      </c>
      <c r="S62" s="2" t="s">
        <v>61</v>
      </c>
      <c r="T62" s="2" t="s">
        <v>62</v>
      </c>
    </row>
    <row r="63" spans="1:20" ht="22.8" customHeight="1" x14ac:dyDescent="0.3">
      <c r="A63" s="2" t="s">
        <v>412</v>
      </c>
      <c r="B63" s="2" t="s">
        <v>232</v>
      </c>
      <c r="C63" s="2" t="s">
        <v>233</v>
      </c>
      <c r="D63" s="3">
        <v>46163.361076388886</v>
      </c>
      <c r="E63" s="3">
        <v>46175.295185185183</v>
      </c>
      <c r="F63" s="2" t="s">
        <v>128</v>
      </c>
      <c r="G63" s="2">
        <v>2</v>
      </c>
      <c r="H63" s="2" t="s">
        <v>229</v>
      </c>
      <c r="I63" s="4" t="s">
        <v>413</v>
      </c>
      <c r="J63" s="2"/>
      <c r="K63" s="2" t="s">
        <v>55</v>
      </c>
      <c r="L63" s="2" t="s">
        <v>71</v>
      </c>
      <c r="M63" s="2"/>
      <c r="N63" s="2" t="s">
        <v>71</v>
      </c>
      <c r="O63" s="2" t="s">
        <v>130</v>
      </c>
      <c r="P63" s="2" t="s">
        <v>71</v>
      </c>
      <c r="Q63" s="2" t="s">
        <v>60</v>
      </c>
      <c r="R63" s="5">
        <v>3.4729166666666669</v>
      </c>
      <c r="S63" s="2" t="s">
        <v>61</v>
      </c>
      <c r="T63" s="2" t="s">
        <v>62</v>
      </c>
    </row>
    <row r="64" spans="1:20" ht="22.8" customHeight="1" x14ac:dyDescent="0.3">
      <c r="A64" s="2" t="s">
        <v>414</v>
      </c>
      <c r="B64" s="2" t="s">
        <v>198</v>
      </c>
      <c r="C64" s="2" t="s">
        <v>199</v>
      </c>
      <c r="D64" s="3">
        <v>46163.375567129631</v>
      </c>
      <c r="E64" s="3">
        <v>46178.625509259262</v>
      </c>
      <c r="F64" s="2" t="s">
        <v>118</v>
      </c>
      <c r="G64" s="2">
        <v>3</v>
      </c>
      <c r="H64" s="4" t="s">
        <v>415</v>
      </c>
      <c r="I64" s="4" t="s">
        <v>416</v>
      </c>
      <c r="J64" s="2"/>
      <c r="K64" s="2" t="s">
        <v>55</v>
      </c>
      <c r="L64" s="2" t="s">
        <v>78</v>
      </c>
      <c r="M64" s="2"/>
      <c r="N64" s="2" t="s">
        <v>78</v>
      </c>
      <c r="O64" s="2" t="s">
        <v>103</v>
      </c>
      <c r="P64" s="2" t="s">
        <v>78</v>
      </c>
      <c r="Q64" s="2" t="s">
        <v>60</v>
      </c>
      <c r="R64" s="5">
        <v>5.0625</v>
      </c>
      <c r="S64" s="2" t="s">
        <v>61</v>
      </c>
      <c r="T64" s="2" t="s">
        <v>62</v>
      </c>
    </row>
    <row r="65" spans="1:20" ht="22.8" customHeight="1" x14ac:dyDescent="0.3">
      <c r="A65" s="2" t="s">
        <v>417</v>
      </c>
      <c r="B65" s="2" t="s">
        <v>220</v>
      </c>
      <c r="C65" s="2" t="s">
        <v>221</v>
      </c>
      <c r="D65" s="3">
        <v>46163.379629629628</v>
      </c>
      <c r="E65" s="3">
        <v>46199.58011574074</v>
      </c>
      <c r="F65" s="2" t="s">
        <v>118</v>
      </c>
      <c r="G65" s="2">
        <v>3</v>
      </c>
      <c r="H65" s="4" t="s">
        <v>418</v>
      </c>
      <c r="I65" s="4" t="s">
        <v>1411</v>
      </c>
      <c r="J65" s="2"/>
      <c r="K65" s="2" t="s">
        <v>55</v>
      </c>
      <c r="L65" s="2" t="s">
        <v>78</v>
      </c>
      <c r="M65" s="2"/>
      <c r="N65" s="2" t="s">
        <v>78</v>
      </c>
      <c r="O65" s="2" t="s">
        <v>94</v>
      </c>
      <c r="P65" s="2" t="s">
        <v>78</v>
      </c>
      <c r="Q65" s="2" t="s">
        <v>60</v>
      </c>
      <c r="R65" s="5">
        <v>3.3347222222222221</v>
      </c>
      <c r="S65" s="2" t="s">
        <v>61</v>
      </c>
      <c r="T65" s="2" t="s">
        <v>62</v>
      </c>
    </row>
    <row r="66" spans="1:20" ht="22.8" customHeight="1" x14ac:dyDescent="0.3">
      <c r="A66" s="2" t="s">
        <v>421</v>
      </c>
      <c r="B66" s="2" t="s">
        <v>193</v>
      </c>
      <c r="C66" s="2" t="s">
        <v>194</v>
      </c>
      <c r="D66" s="3">
        <v>46163.652291666665</v>
      </c>
      <c r="E66" s="3">
        <v>46184.397835648146</v>
      </c>
      <c r="F66" s="2" t="s">
        <v>77</v>
      </c>
      <c r="G66" s="2">
        <v>2</v>
      </c>
      <c r="H66" s="2" t="s">
        <v>422</v>
      </c>
      <c r="I66" s="4" t="s">
        <v>184</v>
      </c>
      <c r="J66" s="2"/>
      <c r="K66" s="2" t="s">
        <v>55</v>
      </c>
      <c r="L66" s="2" t="s">
        <v>78</v>
      </c>
      <c r="M66" s="2"/>
      <c r="N66" s="2" t="s">
        <v>78</v>
      </c>
      <c r="O66" s="2" t="s">
        <v>94</v>
      </c>
      <c r="P66" s="2" t="s">
        <v>78</v>
      </c>
      <c r="Q66" s="2" t="s">
        <v>60</v>
      </c>
      <c r="R66" s="5">
        <v>6.3083333333333336</v>
      </c>
      <c r="S66" s="2" t="s">
        <v>61</v>
      </c>
      <c r="T66" s="2" t="s">
        <v>62</v>
      </c>
    </row>
    <row r="67" spans="1:20" ht="22.8" customHeight="1" x14ac:dyDescent="0.3">
      <c r="A67" s="2" t="s">
        <v>423</v>
      </c>
      <c r="B67" s="2" t="s">
        <v>424</v>
      </c>
      <c r="C67" s="2" t="s">
        <v>425</v>
      </c>
      <c r="D67" s="3">
        <v>46163.696967592594</v>
      </c>
      <c r="E67" s="3">
        <v>46174.488032407404</v>
      </c>
      <c r="F67" s="2" t="s">
        <v>123</v>
      </c>
      <c r="G67" s="2">
        <v>2</v>
      </c>
      <c r="H67" s="2" t="s">
        <v>133</v>
      </c>
      <c r="I67" s="4" t="s">
        <v>426</v>
      </c>
      <c r="J67" s="2"/>
      <c r="K67" s="2" t="s">
        <v>76</v>
      </c>
      <c r="L67" s="2" t="s">
        <v>81</v>
      </c>
      <c r="M67" s="2"/>
      <c r="N67" s="2" t="s">
        <v>81</v>
      </c>
      <c r="O67" s="2" t="s">
        <v>90</v>
      </c>
      <c r="P67" s="2" t="s">
        <v>81</v>
      </c>
      <c r="Q67" s="2" t="s">
        <v>60</v>
      </c>
      <c r="R67" s="5">
        <v>2.8541666666666665</v>
      </c>
      <c r="S67" s="2" t="s">
        <v>61</v>
      </c>
      <c r="T67" s="2" t="s">
        <v>62</v>
      </c>
    </row>
    <row r="68" spans="1:20" ht="22.8" customHeight="1" x14ac:dyDescent="0.3">
      <c r="A68" s="2" t="s">
        <v>427</v>
      </c>
      <c r="B68" s="2" t="s">
        <v>424</v>
      </c>
      <c r="C68" s="2" t="s">
        <v>425</v>
      </c>
      <c r="D68" s="3">
        <v>46163.699548611112</v>
      </c>
      <c r="E68" s="3">
        <v>46174.488634259258</v>
      </c>
      <c r="F68" s="2" t="s">
        <v>77</v>
      </c>
      <c r="G68" s="2">
        <v>2</v>
      </c>
      <c r="H68" s="2" t="s">
        <v>428</v>
      </c>
      <c r="I68" s="4" t="s">
        <v>429</v>
      </c>
      <c r="J68" s="2"/>
      <c r="K68" s="2" t="s">
        <v>76</v>
      </c>
      <c r="L68" s="2" t="s">
        <v>81</v>
      </c>
      <c r="M68" s="2"/>
      <c r="N68" s="2" t="s">
        <v>81</v>
      </c>
      <c r="O68" s="2" t="s">
        <v>90</v>
      </c>
      <c r="P68" s="2" t="s">
        <v>81</v>
      </c>
      <c r="Q68" s="2" t="s">
        <v>60</v>
      </c>
      <c r="R68" s="5">
        <v>2.8520833333333333</v>
      </c>
      <c r="S68" s="2" t="s">
        <v>61</v>
      </c>
      <c r="T68" s="2" t="s">
        <v>62</v>
      </c>
    </row>
    <row r="69" spans="1:20" ht="22.8" customHeight="1" x14ac:dyDescent="0.3">
      <c r="A69" s="2" t="s">
        <v>1412</v>
      </c>
      <c r="B69" s="2" t="s">
        <v>243</v>
      </c>
      <c r="C69" s="2" t="s">
        <v>244</v>
      </c>
      <c r="D69" s="3">
        <v>46164.391469907408</v>
      </c>
      <c r="E69" s="3">
        <v>46197.428888888891</v>
      </c>
      <c r="F69" s="2" t="s">
        <v>176</v>
      </c>
      <c r="G69" s="2">
        <v>3</v>
      </c>
      <c r="H69" s="2" t="s">
        <v>177</v>
      </c>
      <c r="I69" s="4" t="s">
        <v>1413</v>
      </c>
      <c r="J69" s="2"/>
      <c r="K69" s="2" t="s">
        <v>76</v>
      </c>
      <c r="L69" s="2" t="s">
        <v>81</v>
      </c>
      <c r="M69" s="2"/>
      <c r="N69" s="2" t="s">
        <v>81</v>
      </c>
      <c r="O69" s="2" t="s">
        <v>89</v>
      </c>
      <c r="P69" s="2" t="s">
        <v>81</v>
      </c>
      <c r="Q69" s="2" t="s">
        <v>60</v>
      </c>
      <c r="R69" s="5">
        <v>10.1</v>
      </c>
      <c r="S69" s="2" t="s">
        <v>61</v>
      </c>
      <c r="T69" s="2" t="s">
        <v>62</v>
      </c>
    </row>
    <row r="70" spans="1:20" ht="22.8" customHeight="1" x14ac:dyDescent="0.3">
      <c r="A70" s="2" t="s">
        <v>1414</v>
      </c>
      <c r="B70" s="2" t="s">
        <v>1415</v>
      </c>
      <c r="C70" s="2" t="s">
        <v>1416</v>
      </c>
      <c r="D70" s="3">
        <v>46164.628495370373</v>
      </c>
      <c r="E70" s="3">
        <v>46185.377453703702</v>
      </c>
      <c r="F70" s="2" t="s">
        <v>112</v>
      </c>
      <c r="G70" s="2">
        <v>2</v>
      </c>
      <c r="H70" s="2" t="s">
        <v>1417</v>
      </c>
      <c r="I70" s="4" t="s">
        <v>986</v>
      </c>
      <c r="J70" s="2"/>
      <c r="K70" s="2" t="s">
        <v>67</v>
      </c>
      <c r="L70" s="2" t="s">
        <v>78</v>
      </c>
      <c r="M70" s="2"/>
      <c r="N70" s="2" t="s">
        <v>79</v>
      </c>
      <c r="O70" s="2" t="s">
        <v>80</v>
      </c>
      <c r="P70" s="2" t="s">
        <v>78</v>
      </c>
      <c r="Q70" s="2" t="s">
        <v>60</v>
      </c>
      <c r="R70" s="5">
        <v>6.3118055555555559</v>
      </c>
      <c r="S70" s="2" t="s">
        <v>61</v>
      </c>
      <c r="T70" s="2" t="s">
        <v>62</v>
      </c>
    </row>
    <row r="71" spans="1:20" ht="22.8" customHeight="1" x14ac:dyDescent="0.3">
      <c r="A71" s="2" t="s">
        <v>1418</v>
      </c>
      <c r="B71" s="2" t="s">
        <v>1243</v>
      </c>
      <c r="C71" s="2" t="s">
        <v>1244</v>
      </c>
      <c r="D71" s="3">
        <v>46164.651967592596</v>
      </c>
      <c r="E71" s="3">
        <v>46195.715474537035</v>
      </c>
      <c r="F71" s="2" t="s">
        <v>97</v>
      </c>
      <c r="G71" s="2">
        <v>2</v>
      </c>
      <c r="H71" s="2" t="s">
        <v>1419</v>
      </c>
      <c r="I71" s="2"/>
      <c r="J71" s="2"/>
      <c r="K71" s="2" t="s">
        <v>55</v>
      </c>
      <c r="L71" s="2" t="s">
        <v>105</v>
      </c>
      <c r="M71" s="2"/>
      <c r="N71" s="2" t="s">
        <v>98</v>
      </c>
      <c r="O71" s="2" t="s">
        <v>141</v>
      </c>
      <c r="P71" s="2" t="s">
        <v>105</v>
      </c>
      <c r="Q71" s="2" t="s">
        <v>60</v>
      </c>
      <c r="R71" s="5">
        <v>9.2513888888888882</v>
      </c>
      <c r="S71" s="2" t="s">
        <v>61</v>
      </c>
      <c r="T71" s="2" t="s">
        <v>62</v>
      </c>
    </row>
    <row r="72" spans="1:20" ht="22.8" customHeight="1" x14ac:dyDescent="0.3">
      <c r="A72" s="2" t="s">
        <v>434</v>
      </c>
      <c r="B72" s="2" t="s">
        <v>435</v>
      </c>
      <c r="C72" s="2" t="s">
        <v>436</v>
      </c>
      <c r="D72" s="3">
        <v>46164.660694444443</v>
      </c>
      <c r="E72" s="3">
        <v>46177.358981481484</v>
      </c>
      <c r="F72" s="2" t="s">
        <v>88</v>
      </c>
      <c r="G72" s="2">
        <v>3</v>
      </c>
      <c r="H72" s="2" t="s">
        <v>437</v>
      </c>
      <c r="I72" s="4" t="s">
        <v>438</v>
      </c>
      <c r="J72" s="2"/>
      <c r="K72" s="2" t="s">
        <v>55</v>
      </c>
      <c r="L72" s="2" t="s">
        <v>81</v>
      </c>
      <c r="M72" s="2"/>
      <c r="N72" s="2" t="s">
        <v>78</v>
      </c>
      <c r="O72" s="2" t="s">
        <v>94</v>
      </c>
      <c r="P72" s="2" t="s">
        <v>81</v>
      </c>
      <c r="Q72" s="2" t="s">
        <v>60</v>
      </c>
      <c r="R72" s="5">
        <v>3.6361111111111111</v>
      </c>
      <c r="S72" s="2" t="s">
        <v>61</v>
      </c>
      <c r="T72" s="2" t="s">
        <v>62</v>
      </c>
    </row>
    <row r="73" spans="1:20" ht="22.8" customHeight="1" x14ac:dyDescent="0.3">
      <c r="A73" s="2" t="s">
        <v>439</v>
      </c>
      <c r="B73" s="2" t="s">
        <v>172</v>
      </c>
      <c r="C73" s="2" t="s">
        <v>173</v>
      </c>
      <c r="D73" s="3">
        <v>46164.711516203701</v>
      </c>
      <c r="E73" s="3">
        <v>46177.57234953704</v>
      </c>
      <c r="F73" s="2" t="s">
        <v>128</v>
      </c>
      <c r="G73" s="2">
        <v>3</v>
      </c>
      <c r="H73" s="2" t="s">
        <v>169</v>
      </c>
      <c r="I73" s="4" t="s">
        <v>440</v>
      </c>
      <c r="J73" s="2"/>
      <c r="K73" s="2" t="s">
        <v>55</v>
      </c>
      <c r="L73" s="2" t="s">
        <v>71</v>
      </c>
      <c r="M73" s="2"/>
      <c r="N73" s="2" t="s">
        <v>71</v>
      </c>
      <c r="O73" s="2" t="s">
        <v>130</v>
      </c>
      <c r="P73" s="2" t="s">
        <v>71</v>
      </c>
      <c r="Q73" s="2" t="s">
        <v>60</v>
      </c>
      <c r="R73" s="5">
        <v>3.7986111111111112</v>
      </c>
      <c r="S73" s="2" t="s">
        <v>61</v>
      </c>
      <c r="T73" s="2" t="s">
        <v>62</v>
      </c>
    </row>
    <row r="74" spans="1:20" ht="22.8" customHeight="1" x14ac:dyDescent="0.3">
      <c r="A74" s="2" t="s">
        <v>441</v>
      </c>
      <c r="B74" s="2" t="s">
        <v>442</v>
      </c>
      <c r="C74" s="2" t="s">
        <v>443</v>
      </c>
      <c r="D74" s="3">
        <v>46167.428402777776</v>
      </c>
      <c r="E74" s="3">
        <v>46182.374398148146</v>
      </c>
      <c r="F74" s="2" t="s">
        <v>77</v>
      </c>
      <c r="G74" s="2">
        <v>3</v>
      </c>
      <c r="H74" s="2" t="s">
        <v>444</v>
      </c>
      <c r="I74" s="4" t="s">
        <v>445</v>
      </c>
      <c r="J74" s="2"/>
      <c r="K74" s="2" t="s">
        <v>55</v>
      </c>
      <c r="L74" s="2" t="s">
        <v>78</v>
      </c>
      <c r="M74" s="2"/>
      <c r="N74" s="2" t="s">
        <v>78</v>
      </c>
      <c r="O74" s="2" t="s">
        <v>103</v>
      </c>
      <c r="P74" s="2" t="s">
        <v>78</v>
      </c>
      <c r="Q74" s="2" t="s">
        <v>60</v>
      </c>
      <c r="R74" s="5">
        <v>4.6166666666666663</v>
      </c>
      <c r="S74" s="2" t="s">
        <v>61</v>
      </c>
      <c r="T74" s="2" t="s">
        <v>62</v>
      </c>
    </row>
    <row r="75" spans="1:20" ht="22.8" customHeight="1" x14ac:dyDescent="0.3">
      <c r="A75" s="2" t="s">
        <v>446</v>
      </c>
      <c r="B75" s="2" t="s">
        <v>68</v>
      </c>
      <c r="C75" s="2" t="s">
        <v>69</v>
      </c>
      <c r="D75" s="3">
        <v>46167.50271990741</v>
      </c>
      <c r="E75" s="3">
        <v>46174.429340277777</v>
      </c>
      <c r="F75" s="2" t="s">
        <v>218</v>
      </c>
      <c r="G75" s="2">
        <v>2</v>
      </c>
      <c r="H75" s="2" t="s">
        <v>447</v>
      </c>
      <c r="I75" s="2"/>
      <c r="J75" s="2"/>
      <c r="K75" s="2" t="s">
        <v>55</v>
      </c>
      <c r="L75" s="2" t="s">
        <v>71</v>
      </c>
      <c r="M75" s="2"/>
      <c r="N75" s="2" t="s">
        <v>71</v>
      </c>
      <c r="O75" s="2" t="s">
        <v>306</v>
      </c>
      <c r="P75" s="2" t="s">
        <v>71</v>
      </c>
      <c r="Q75" s="2" t="s">
        <v>60</v>
      </c>
      <c r="R75" s="5">
        <v>2.1145833333333335</v>
      </c>
      <c r="S75" s="2" t="s">
        <v>61</v>
      </c>
      <c r="T75" s="2" t="s">
        <v>62</v>
      </c>
    </row>
    <row r="76" spans="1:20" ht="22.8" customHeight="1" x14ac:dyDescent="0.3">
      <c r="A76" s="2" t="s">
        <v>448</v>
      </c>
      <c r="B76" s="2" t="s">
        <v>449</v>
      </c>
      <c r="C76" s="2" t="s">
        <v>450</v>
      </c>
      <c r="D76" s="3">
        <v>46167.737314814818</v>
      </c>
      <c r="E76" s="3">
        <v>46177.398946759262</v>
      </c>
      <c r="F76" s="2" t="s">
        <v>109</v>
      </c>
      <c r="G76" s="2">
        <v>3</v>
      </c>
      <c r="H76" s="4" t="s">
        <v>451</v>
      </c>
      <c r="I76" s="2"/>
      <c r="J76" s="2"/>
      <c r="K76" s="2" t="s">
        <v>55</v>
      </c>
      <c r="L76" s="2" t="s">
        <v>119</v>
      </c>
      <c r="M76" s="2"/>
      <c r="N76" s="2" t="s">
        <v>119</v>
      </c>
      <c r="O76" s="2" t="s">
        <v>120</v>
      </c>
      <c r="P76" s="2" t="s">
        <v>119</v>
      </c>
      <c r="Q76" s="2" t="s">
        <v>60</v>
      </c>
      <c r="R76" s="5">
        <v>3.1618055555555555</v>
      </c>
      <c r="S76" s="2" t="s">
        <v>61</v>
      </c>
      <c r="T76" s="2" t="s">
        <v>62</v>
      </c>
    </row>
    <row r="77" spans="1:20" ht="22.8" customHeight="1" x14ac:dyDescent="0.3">
      <c r="A77" s="2" t="s">
        <v>452</v>
      </c>
      <c r="B77" s="2" t="s">
        <v>453</v>
      </c>
      <c r="C77" s="2" t="s">
        <v>454</v>
      </c>
      <c r="D77" s="3">
        <v>46168.595960648148</v>
      </c>
      <c r="E77" s="3">
        <v>46174.489548611113</v>
      </c>
      <c r="F77" s="2" t="s">
        <v>282</v>
      </c>
      <c r="G77" s="2">
        <v>3</v>
      </c>
      <c r="H77" s="2" t="s">
        <v>455</v>
      </c>
      <c r="I77" s="4" t="s">
        <v>456</v>
      </c>
      <c r="J77" s="2"/>
      <c r="K77" s="2" t="s">
        <v>76</v>
      </c>
      <c r="L77" s="2" t="s">
        <v>81</v>
      </c>
      <c r="M77" s="2"/>
      <c r="N77" s="2" t="s">
        <v>81</v>
      </c>
      <c r="O77" s="2" t="s">
        <v>90</v>
      </c>
      <c r="P77" s="2" t="s">
        <v>81</v>
      </c>
      <c r="Q77" s="2" t="s">
        <v>60</v>
      </c>
      <c r="R77" s="5">
        <v>1.64375</v>
      </c>
      <c r="S77" s="2" t="s">
        <v>61</v>
      </c>
      <c r="T77" s="2" t="s">
        <v>62</v>
      </c>
    </row>
    <row r="78" spans="1:20" ht="22.8" customHeight="1" x14ac:dyDescent="0.3">
      <c r="A78" s="2" t="s">
        <v>457</v>
      </c>
      <c r="B78" s="2" t="s">
        <v>167</v>
      </c>
      <c r="C78" s="2" t="s">
        <v>168</v>
      </c>
      <c r="D78" s="3">
        <v>46171.585358796299</v>
      </c>
      <c r="E78" s="3">
        <v>46174.847118055557</v>
      </c>
      <c r="F78" s="2" t="s">
        <v>275</v>
      </c>
      <c r="G78" s="2">
        <v>3</v>
      </c>
      <c r="H78" s="4" t="s">
        <v>458</v>
      </c>
      <c r="I78" s="2"/>
      <c r="J78" s="2"/>
      <c r="K78" s="2" t="s">
        <v>55</v>
      </c>
      <c r="L78" s="2" t="s">
        <v>126</v>
      </c>
      <c r="M78" s="2" t="s">
        <v>126</v>
      </c>
      <c r="N78" s="2" t="s">
        <v>126</v>
      </c>
      <c r="O78" s="2" t="s">
        <v>225</v>
      </c>
      <c r="P78" s="2" t="s">
        <v>126</v>
      </c>
      <c r="Q78" s="2" t="s">
        <v>60</v>
      </c>
      <c r="R78" s="6">
        <v>0</v>
      </c>
      <c r="S78" s="2" t="s">
        <v>61</v>
      </c>
      <c r="T78" s="2" t="s">
        <v>276</v>
      </c>
    </row>
    <row r="79" spans="1:20" ht="22.8" customHeight="1" x14ac:dyDescent="0.3">
      <c r="A79" s="2" t="s">
        <v>459</v>
      </c>
      <c r="B79" s="2" t="s">
        <v>167</v>
      </c>
      <c r="C79" s="2" t="s">
        <v>168</v>
      </c>
      <c r="D79" s="3">
        <v>46171.586469907408</v>
      </c>
      <c r="E79" s="3">
        <v>46174.846979166665</v>
      </c>
      <c r="F79" s="2" t="s">
        <v>275</v>
      </c>
      <c r="G79" s="2">
        <v>3</v>
      </c>
      <c r="H79" s="4" t="s">
        <v>460</v>
      </c>
      <c r="I79" s="2"/>
      <c r="J79" s="2"/>
      <c r="K79" s="2" t="s">
        <v>55</v>
      </c>
      <c r="L79" s="2" t="s">
        <v>126</v>
      </c>
      <c r="M79" s="2" t="s">
        <v>126</v>
      </c>
      <c r="N79" s="2" t="s">
        <v>126</v>
      </c>
      <c r="O79" s="2" t="s">
        <v>225</v>
      </c>
      <c r="P79" s="2" t="s">
        <v>126</v>
      </c>
      <c r="Q79" s="2" t="s">
        <v>60</v>
      </c>
      <c r="R79" s="6">
        <v>0</v>
      </c>
      <c r="S79" s="2" t="s">
        <v>61</v>
      </c>
      <c r="T79" s="2" t="s">
        <v>276</v>
      </c>
    </row>
    <row r="80" spans="1:20" ht="22.8" customHeight="1" x14ac:dyDescent="0.3">
      <c r="A80" s="2" t="s">
        <v>461</v>
      </c>
      <c r="B80" s="2" t="s">
        <v>167</v>
      </c>
      <c r="C80" s="2" t="s">
        <v>168</v>
      </c>
      <c r="D80" s="3">
        <v>46171.587361111109</v>
      </c>
      <c r="E80" s="3">
        <v>46174.847268518519</v>
      </c>
      <c r="F80" s="2" t="s">
        <v>275</v>
      </c>
      <c r="G80" s="2">
        <v>3</v>
      </c>
      <c r="H80" s="4" t="s">
        <v>462</v>
      </c>
      <c r="I80" s="2"/>
      <c r="J80" s="2"/>
      <c r="K80" s="2" t="s">
        <v>55</v>
      </c>
      <c r="L80" s="2" t="s">
        <v>126</v>
      </c>
      <c r="M80" s="2" t="s">
        <v>126</v>
      </c>
      <c r="N80" s="2" t="s">
        <v>126</v>
      </c>
      <c r="O80" s="2" t="s">
        <v>225</v>
      </c>
      <c r="P80" s="2" t="s">
        <v>126</v>
      </c>
      <c r="Q80" s="2" t="s">
        <v>60</v>
      </c>
      <c r="R80" s="6">
        <v>0</v>
      </c>
      <c r="S80" s="2" t="s">
        <v>61</v>
      </c>
      <c r="T80" s="2" t="s">
        <v>276</v>
      </c>
    </row>
    <row r="81" spans="1:20" ht="22.8" customHeight="1" x14ac:dyDescent="0.3">
      <c r="A81" s="2" t="s">
        <v>463</v>
      </c>
      <c r="B81" s="2" t="s">
        <v>167</v>
      </c>
      <c r="C81" s="2" t="s">
        <v>168</v>
      </c>
      <c r="D81" s="3">
        <v>46171.687361111108</v>
      </c>
      <c r="E81" s="3">
        <v>46174.846655092595</v>
      </c>
      <c r="F81" s="2" t="s">
        <v>275</v>
      </c>
      <c r="G81" s="2">
        <v>3</v>
      </c>
      <c r="H81" s="4" t="s">
        <v>464</v>
      </c>
      <c r="I81" s="2"/>
      <c r="J81" s="2"/>
      <c r="K81" s="2" t="s">
        <v>55</v>
      </c>
      <c r="L81" s="2" t="s">
        <v>126</v>
      </c>
      <c r="M81" s="2" t="s">
        <v>126</v>
      </c>
      <c r="N81" s="2" t="s">
        <v>126</v>
      </c>
      <c r="O81" s="2" t="s">
        <v>225</v>
      </c>
      <c r="P81" s="2" t="s">
        <v>126</v>
      </c>
      <c r="Q81" s="2" t="s">
        <v>60</v>
      </c>
      <c r="R81" s="6">
        <v>0</v>
      </c>
      <c r="S81" s="2" t="s">
        <v>61</v>
      </c>
      <c r="T81" s="2" t="s">
        <v>276</v>
      </c>
    </row>
    <row r="82" spans="1:20" ht="22.8" customHeight="1" x14ac:dyDescent="0.3">
      <c r="A82" s="2" t="s">
        <v>466</v>
      </c>
      <c r="B82" s="2" t="s">
        <v>467</v>
      </c>
      <c r="C82" s="2" t="s">
        <v>468</v>
      </c>
      <c r="D82" s="3">
        <v>46174.380833333336</v>
      </c>
      <c r="E82" s="3">
        <v>46185.442650462966</v>
      </c>
      <c r="F82" s="2" t="s">
        <v>123</v>
      </c>
      <c r="G82" s="2">
        <v>3</v>
      </c>
      <c r="H82" s="2" t="s">
        <v>124</v>
      </c>
      <c r="I82" s="4" t="s">
        <v>125</v>
      </c>
      <c r="J82" s="2"/>
      <c r="K82" s="2" t="s">
        <v>55</v>
      </c>
      <c r="L82" s="2" t="s">
        <v>81</v>
      </c>
      <c r="M82" s="2"/>
      <c r="N82" s="2" t="s">
        <v>78</v>
      </c>
      <c r="O82" s="2" t="s">
        <v>94</v>
      </c>
      <c r="P82" s="2" t="s">
        <v>81</v>
      </c>
      <c r="Q82" s="2" t="s">
        <v>60</v>
      </c>
      <c r="R82" s="5">
        <v>4</v>
      </c>
      <c r="S82" s="2" t="s">
        <v>61</v>
      </c>
      <c r="T82" s="2" t="s">
        <v>62</v>
      </c>
    </row>
    <row r="83" spans="1:20" ht="22.8" customHeight="1" x14ac:dyDescent="0.3">
      <c r="A83" s="2" t="s">
        <v>469</v>
      </c>
      <c r="B83" s="2" t="s">
        <v>470</v>
      </c>
      <c r="C83" s="2" t="s">
        <v>471</v>
      </c>
      <c r="D83" s="3">
        <v>46174.436238425929</v>
      </c>
      <c r="E83" s="3">
        <v>46188.688194444447</v>
      </c>
      <c r="F83" s="2" t="s">
        <v>123</v>
      </c>
      <c r="G83" s="2">
        <v>2</v>
      </c>
      <c r="H83" s="2" t="s">
        <v>131</v>
      </c>
      <c r="I83" s="4" t="s">
        <v>158</v>
      </c>
      <c r="J83" s="2"/>
      <c r="K83" s="2" t="s">
        <v>76</v>
      </c>
      <c r="L83" s="2" t="s">
        <v>81</v>
      </c>
      <c r="M83" s="2"/>
      <c r="N83" s="2" t="s">
        <v>81</v>
      </c>
      <c r="O83" s="2" t="s">
        <v>89</v>
      </c>
      <c r="P83" s="2" t="s">
        <v>81</v>
      </c>
      <c r="Q83" s="2" t="s">
        <v>60</v>
      </c>
      <c r="R83" s="5">
        <v>4.5222222222222221</v>
      </c>
      <c r="S83" s="2" t="s">
        <v>61</v>
      </c>
      <c r="T83" s="2" t="s">
        <v>62</v>
      </c>
    </row>
    <row r="84" spans="1:20" ht="22.8" customHeight="1" x14ac:dyDescent="0.3">
      <c r="A84" s="2" t="s">
        <v>476</v>
      </c>
      <c r="B84" s="2" t="s">
        <v>477</v>
      </c>
      <c r="C84" s="2" t="s">
        <v>478</v>
      </c>
      <c r="D84" s="3">
        <v>46174.443611111114</v>
      </c>
      <c r="E84" s="3">
        <v>46175.371840277781</v>
      </c>
      <c r="F84" s="2" t="s">
        <v>88</v>
      </c>
      <c r="G84" s="2">
        <v>2</v>
      </c>
      <c r="H84" s="2" t="s">
        <v>479</v>
      </c>
      <c r="I84" s="4" t="s">
        <v>480</v>
      </c>
      <c r="J84" s="2"/>
      <c r="K84" s="2" t="s">
        <v>67</v>
      </c>
      <c r="L84" s="2" t="s">
        <v>78</v>
      </c>
      <c r="M84" s="2"/>
      <c r="N84" s="2" t="s">
        <v>79</v>
      </c>
      <c r="O84" s="2" t="s">
        <v>80</v>
      </c>
      <c r="P84" s="2" t="s">
        <v>78</v>
      </c>
      <c r="Q84" s="2" t="s">
        <v>60</v>
      </c>
      <c r="R84" s="6">
        <v>0.3659722222222222</v>
      </c>
      <c r="S84" s="2" t="s">
        <v>61</v>
      </c>
      <c r="T84" s="2" t="s">
        <v>62</v>
      </c>
    </row>
    <row r="85" spans="1:20" ht="22.8" customHeight="1" x14ac:dyDescent="0.3">
      <c r="A85" s="2" t="s">
        <v>481</v>
      </c>
      <c r="B85" s="2" t="s">
        <v>482</v>
      </c>
      <c r="C85" s="2" t="s">
        <v>483</v>
      </c>
      <c r="D85" s="3">
        <v>46174.461215277777</v>
      </c>
      <c r="E85" s="3">
        <v>46185.365185185183</v>
      </c>
      <c r="F85" s="2" t="s">
        <v>77</v>
      </c>
      <c r="G85" s="2">
        <v>2</v>
      </c>
      <c r="H85" s="2" t="s">
        <v>484</v>
      </c>
      <c r="I85" s="4" t="s">
        <v>485</v>
      </c>
      <c r="J85" s="2"/>
      <c r="K85" s="2" t="s">
        <v>55</v>
      </c>
      <c r="L85" s="2" t="s">
        <v>78</v>
      </c>
      <c r="M85" s="2"/>
      <c r="N85" s="2" t="s">
        <v>78</v>
      </c>
      <c r="O85" s="2" t="s">
        <v>94</v>
      </c>
      <c r="P85" s="2" t="s">
        <v>78</v>
      </c>
      <c r="Q85" s="2" t="s">
        <v>60</v>
      </c>
      <c r="R85" s="5">
        <v>3.8416666666666668</v>
      </c>
      <c r="S85" s="2" t="s">
        <v>61</v>
      </c>
      <c r="T85" s="2" t="s">
        <v>62</v>
      </c>
    </row>
    <row r="86" spans="1:20" ht="22.8" customHeight="1" x14ac:dyDescent="0.3">
      <c r="A86" s="2" t="s">
        <v>486</v>
      </c>
      <c r="B86" s="2" t="s">
        <v>68</v>
      </c>
      <c r="C86" s="2" t="s">
        <v>69</v>
      </c>
      <c r="D86" s="3">
        <v>46174.461539351854</v>
      </c>
      <c r="E86" s="3">
        <v>46185.326238425929</v>
      </c>
      <c r="F86" s="2" t="s">
        <v>487</v>
      </c>
      <c r="G86" s="2">
        <v>3</v>
      </c>
      <c r="H86" s="2" t="s">
        <v>488</v>
      </c>
      <c r="I86" s="4" t="s">
        <v>489</v>
      </c>
      <c r="J86" s="2"/>
      <c r="K86" s="2" t="s">
        <v>55</v>
      </c>
      <c r="L86" s="2" t="s">
        <v>71</v>
      </c>
      <c r="M86" s="2"/>
      <c r="N86" s="2" t="s">
        <v>71</v>
      </c>
      <c r="O86" s="2" t="s">
        <v>153</v>
      </c>
      <c r="P86" s="2" t="s">
        <v>71</v>
      </c>
      <c r="Q86" s="2" t="s">
        <v>60</v>
      </c>
      <c r="R86" s="5">
        <v>3.8097222222222222</v>
      </c>
      <c r="S86" s="2" t="s">
        <v>61</v>
      </c>
      <c r="T86" s="2" t="s">
        <v>62</v>
      </c>
    </row>
    <row r="87" spans="1:20" ht="22.8" customHeight="1" x14ac:dyDescent="0.3">
      <c r="A87" s="2" t="s">
        <v>490</v>
      </c>
      <c r="B87" s="2" t="s">
        <v>491</v>
      </c>
      <c r="C87" s="2" t="s">
        <v>492</v>
      </c>
      <c r="D87" s="3">
        <v>46174.462395833332</v>
      </c>
      <c r="E87" s="3">
        <v>46181.397256944445</v>
      </c>
      <c r="F87" s="2" t="s">
        <v>97</v>
      </c>
      <c r="G87" s="2">
        <v>2</v>
      </c>
      <c r="H87" s="2" t="s">
        <v>493</v>
      </c>
      <c r="I87" s="4" t="s">
        <v>494</v>
      </c>
      <c r="J87" s="2"/>
      <c r="K87" s="2" t="s">
        <v>67</v>
      </c>
      <c r="L87" s="2" t="s">
        <v>105</v>
      </c>
      <c r="M87" s="2"/>
      <c r="N87" s="2" t="s">
        <v>98</v>
      </c>
      <c r="O87" s="2" t="s">
        <v>106</v>
      </c>
      <c r="P87" s="2" t="s">
        <v>105</v>
      </c>
      <c r="Q87" s="2" t="s">
        <v>60</v>
      </c>
      <c r="R87" s="5">
        <v>2.1229166666666668</v>
      </c>
      <c r="S87" s="2" t="s">
        <v>61</v>
      </c>
      <c r="T87" s="2" t="s">
        <v>62</v>
      </c>
    </row>
    <row r="88" spans="1:20" ht="22.8" customHeight="1" x14ac:dyDescent="0.3">
      <c r="A88" s="2" t="s">
        <v>495</v>
      </c>
      <c r="B88" s="2" t="s">
        <v>496</v>
      </c>
      <c r="C88" s="2" t="s">
        <v>497</v>
      </c>
      <c r="D88" s="3">
        <v>46174.480173611111</v>
      </c>
      <c r="E88" s="3">
        <v>46182.699328703704</v>
      </c>
      <c r="F88" s="2" t="s">
        <v>123</v>
      </c>
      <c r="G88" s="2">
        <v>3</v>
      </c>
      <c r="H88" s="2" t="s">
        <v>498</v>
      </c>
      <c r="I88" s="4" t="s">
        <v>499</v>
      </c>
      <c r="J88" s="2"/>
      <c r="K88" s="2" t="s">
        <v>55</v>
      </c>
      <c r="L88" s="2" t="s">
        <v>78</v>
      </c>
      <c r="M88" s="2"/>
      <c r="N88" s="2" t="s">
        <v>78</v>
      </c>
      <c r="O88" s="2" t="s">
        <v>94</v>
      </c>
      <c r="P88" s="2" t="s">
        <v>78</v>
      </c>
      <c r="Q88" s="2" t="s">
        <v>60</v>
      </c>
      <c r="R88" s="5">
        <v>2.8444444444444446</v>
      </c>
      <c r="S88" s="2" t="s">
        <v>61</v>
      </c>
      <c r="T88" s="2" t="s">
        <v>62</v>
      </c>
    </row>
    <row r="89" spans="1:20" ht="22.8" customHeight="1" x14ac:dyDescent="0.3">
      <c r="A89" s="2" t="s">
        <v>500</v>
      </c>
      <c r="B89" s="2" t="s">
        <v>167</v>
      </c>
      <c r="C89" s="2" t="s">
        <v>168</v>
      </c>
      <c r="D89" s="3">
        <v>46174.59170138889</v>
      </c>
      <c r="E89" s="3">
        <v>46174.84648148148</v>
      </c>
      <c r="F89" s="2" t="s">
        <v>275</v>
      </c>
      <c r="G89" s="2">
        <v>3</v>
      </c>
      <c r="H89" s="4" t="s">
        <v>501</v>
      </c>
      <c r="I89" s="2"/>
      <c r="J89" s="2"/>
      <c r="K89" s="2" t="s">
        <v>55</v>
      </c>
      <c r="L89" s="2" t="s">
        <v>126</v>
      </c>
      <c r="M89" s="2" t="s">
        <v>126</v>
      </c>
      <c r="N89" s="2" t="s">
        <v>126</v>
      </c>
      <c r="O89" s="2" t="s">
        <v>225</v>
      </c>
      <c r="P89" s="2" t="s">
        <v>126</v>
      </c>
      <c r="Q89" s="2" t="s">
        <v>60</v>
      </c>
      <c r="R89" s="6">
        <v>0</v>
      </c>
      <c r="S89" s="2" t="s">
        <v>61</v>
      </c>
      <c r="T89" s="2" t="s">
        <v>276</v>
      </c>
    </row>
    <row r="90" spans="1:20" ht="22.8" customHeight="1" x14ac:dyDescent="0.3">
      <c r="A90" s="2" t="s">
        <v>502</v>
      </c>
      <c r="B90" s="2" t="s">
        <v>503</v>
      </c>
      <c r="C90" s="2" t="s">
        <v>504</v>
      </c>
      <c r="D90" s="3">
        <v>46174.600960648146</v>
      </c>
      <c r="E90" s="3">
        <v>46175.445613425924</v>
      </c>
      <c r="F90" s="2" t="s">
        <v>121</v>
      </c>
      <c r="G90" s="2">
        <v>2</v>
      </c>
      <c r="H90" s="2" t="s">
        <v>140</v>
      </c>
      <c r="I90" s="4" t="s">
        <v>505</v>
      </c>
      <c r="J90" s="2"/>
      <c r="K90" s="2" t="s">
        <v>76</v>
      </c>
      <c r="L90" s="2" t="s">
        <v>81</v>
      </c>
      <c r="M90" s="2"/>
      <c r="N90" s="2" t="s">
        <v>81</v>
      </c>
      <c r="O90" s="2" t="s">
        <v>90</v>
      </c>
      <c r="P90" s="2" t="s">
        <v>81</v>
      </c>
      <c r="Q90" s="2" t="s">
        <v>60</v>
      </c>
      <c r="R90" s="6">
        <v>0.28263888888888888</v>
      </c>
      <c r="S90" s="2" t="s">
        <v>61</v>
      </c>
      <c r="T90" s="2" t="s">
        <v>62</v>
      </c>
    </row>
    <row r="91" spans="1:20" ht="22.8" customHeight="1" x14ac:dyDescent="0.3">
      <c r="A91" s="2" t="s">
        <v>506</v>
      </c>
      <c r="B91" s="2" t="s">
        <v>507</v>
      </c>
      <c r="C91" s="2" t="s">
        <v>508</v>
      </c>
      <c r="D91" s="3">
        <v>46174.616840277777</v>
      </c>
      <c r="E91" s="3">
        <v>46175.445335648146</v>
      </c>
      <c r="F91" s="2" t="s">
        <v>121</v>
      </c>
      <c r="G91" s="2">
        <v>2</v>
      </c>
      <c r="H91" s="2" t="s">
        <v>122</v>
      </c>
      <c r="I91" s="4" t="s">
        <v>505</v>
      </c>
      <c r="J91" s="2"/>
      <c r="K91" s="2" t="s">
        <v>76</v>
      </c>
      <c r="L91" s="2" t="s">
        <v>81</v>
      </c>
      <c r="M91" s="2"/>
      <c r="N91" s="2" t="s">
        <v>81</v>
      </c>
      <c r="O91" s="2" t="s">
        <v>90</v>
      </c>
      <c r="P91" s="2" t="s">
        <v>81</v>
      </c>
      <c r="Q91" s="2" t="s">
        <v>60</v>
      </c>
      <c r="R91" s="6">
        <v>0.26666666666666666</v>
      </c>
      <c r="S91" s="2" t="s">
        <v>61</v>
      </c>
      <c r="T91" s="2" t="s">
        <v>62</v>
      </c>
    </row>
    <row r="92" spans="1:20" ht="22.8" customHeight="1" x14ac:dyDescent="0.3">
      <c r="A92" s="2" t="s">
        <v>509</v>
      </c>
      <c r="B92" s="2" t="s">
        <v>262</v>
      </c>
      <c r="C92" s="2" t="s">
        <v>263</v>
      </c>
      <c r="D92" s="3">
        <v>46174.633773148147</v>
      </c>
      <c r="E92" s="3">
        <v>46176.500416666669</v>
      </c>
      <c r="F92" s="2" t="s">
        <v>218</v>
      </c>
      <c r="G92" s="2">
        <v>3</v>
      </c>
      <c r="H92" s="2" t="s">
        <v>510</v>
      </c>
      <c r="I92" s="2"/>
      <c r="J92" s="2"/>
      <c r="K92" s="2" t="s">
        <v>55</v>
      </c>
      <c r="L92" s="2" t="s">
        <v>71</v>
      </c>
      <c r="M92" s="2"/>
      <c r="N92" s="2" t="s">
        <v>71</v>
      </c>
      <c r="O92" s="2" t="s">
        <v>104</v>
      </c>
      <c r="P92" s="2" t="s">
        <v>71</v>
      </c>
      <c r="Q92" s="2" t="s">
        <v>60</v>
      </c>
      <c r="R92" s="6">
        <v>0.7416666666666667</v>
      </c>
      <c r="S92" s="2" t="s">
        <v>61</v>
      </c>
      <c r="T92" s="2" t="s">
        <v>62</v>
      </c>
    </row>
    <row r="93" spans="1:20" ht="22.8" customHeight="1" x14ac:dyDescent="0.3">
      <c r="A93" s="2" t="s">
        <v>511</v>
      </c>
      <c r="B93" s="2" t="s">
        <v>262</v>
      </c>
      <c r="C93" s="2" t="s">
        <v>263</v>
      </c>
      <c r="D93" s="3">
        <v>46174.635671296295</v>
      </c>
      <c r="E93" s="3">
        <v>46176.496782407405</v>
      </c>
      <c r="F93" s="2" t="s">
        <v>70</v>
      </c>
      <c r="G93" s="2">
        <v>3</v>
      </c>
      <c r="H93" s="2" t="s">
        <v>512</v>
      </c>
      <c r="I93" s="2"/>
      <c r="J93" s="2"/>
      <c r="K93" s="2" t="s">
        <v>55</v>
      </c>
      <c r="L93" s="2" t="s">
        <v>71</v>
      </c>
      <c r="M93" s="2"/>
      <c r="N93" s="2" t="s">
        <v>71</v>
      </c>
      <c r="O93" s="2" t="s">
        <v>104</v>
      </c>
      <c r="P93" s="2" t="s">
        <v>71</v>
      </c>
      <c r="Q93" s="2" t="s">
        <v>60</v>
      </c>
      <c r="R93" s="6">
        <v>0.73611111111111116</v>
      </c>
      <c r="S93" s="2" t="s">
        <v>61</v>
      </c>
      <c r="T93" s="2" t="s">
        <v>62</v>
      </c>
    </row>
    <row r="94" spans="1:20" ht="22.8" customHeight="1" x14ac:dyDescent="0.3">
      <c r="A94" s="2" t="s">
        <v>513</v>
      </c>
      <c r="B94" s="2" t="s">
        <v>195</v>
      </c>
      <c r="C94" s="2" t="s">
        <v>236</v>
      </c>
      <c r="D94" s="3">
        <v>46174.644108796296</v>
      </c>
      <c r="E94" s="3">
        <v>46175.665648148148</v>
      </c>
      <c r="F94" s="2" t="s">
        <v>123</v>
      </c>
      <c r="G94" s="2">
        <v>2</v>
      </c>
      <c r="H94" s="2" t="s">
        <v>133</v>
      </c>
      <c r="I94" s="4" t="s">
        <v>514</v>
      </c>
      <c r="J94" s="2"/>
      <c r="K94" s="2" t="s">
        <v>76</v>
      </c>
      <c r="L94" s="2" t="s">
        <v>81</v>
      </c>
      <c r="M94" s="2"/>
      <c r="N94" s="2" t="s">
        <v>81</v>
      </c>
      <c r="O94" s="2" t="s">
        <v>89</v>
      </c>
      <c r="P94" s="2" t="s">
        <v>81</v>
      </c>
      <c r="Q94" s="2" t="s">
        <v>60</v>
      </c>
      <c r="R94" s="6">
        <v>0.4597222222222222</v>
      </c>
      <c r="S94" s="2" t="s">
        <v>61</v>
      </c>
      <c r="T94" s="2" t="s">
        <v>62</v>
      </c>
    </row>
    <row r="95" spans="1:20" ht="22.8" customHeight="1" x14ac:dyDescent="0.3">
      <c r="A95" s="2" t="s">
        <v>515</v>
      </c>
      <c r="B95" s="2" t="s">
        <v>216</v>
      </c>
      <c r="C95" s="2" t="s">
        <v>217</v>
      </c>
      <c r="D95" s="3">
        <v>46174.653506944444</v>
      </c>
      <c r="E95" s="3">
        <v>46184.400879629633</v>
      </c>
      <c r="F95" s="2" t="s">
        <v>123</v>
      </c>
      <c r="G95" s="2">
        <v>3</v>
      </c>
      <c r="H95" s="2" t="s">
        <v>234</v>
      </c>
      <c r="I95" s="4" t="s">
        <v>125</v>
      </c>
      <c r="J95" s="2"/>
      <c r="K95" s="2" t="s">
        <v>55</v>
      </c>
      <c r="L95" s="2" t="s">
        <v>78</v>
      </c>
      <c r="M95" s="2"/>
      <c r="N95" s="2" t="s">
        <v>78</v>
      </c>
      <c r="O95" s="2" t="s">
        <v>94</v>
      </c>
      <c r="P95" s="2" t="s">
        <v>78</v>
      </c>
      <c r="Q95" s="2" t="s">
        <v>60</v>
      </c>
      <c r="R95" s="5">
        <v>3.2479166666666668</v>
      </c>
      <c r="S95" s="2" t="s">
        <v>61</v>
      </c>
      <c r="T95" s="2" t="s">
        <v>62</v>
      </c>
    </row>
    <row r="96" spans="1:20" ht="22.8" customHeight="1" x14ac:dyDescent="0.3">
      <c r="A96" s="2" t="s">
        <v>518</v>
      </c>
      <c r="B96" s="2" t="s">
        <v>269</v>
      </c>
      <c r="C96" s="2" t="s">
        <v>270</v>
      </c>
      <c r="D96" s="3">
        <v>46174.673067129632</v>
      </c>
      <c r="E96" s="3">
        <v>46202.449548611112</v>
      </c>
      <c r="F96" s="2" t="s">
        <v>99</v>
      </c>
      <c r="G96" s="2">
        <v>2</v>
      </c>
      <c r="H96" s="2" t="s">
        <v>519</v>
      </c>
      <c r="I96" s="4" t="s">
        <v>520</v>
      </c>
      <c r="J96" s="2"/>
      <c r="K96" s="2" t="s">
        <v>55</v>
      </c>
      <c r="L96" s="2" t="s">
        <v>78</v>
      </c>
      <c r="M96" s="2"/>
      <c r="N96" s="2" t="s">
        <v>78</v>
      </c>
      <c r="O96" s="2" t="s">
        <v>103</v>
      </c>
      <c r="P96" s="2" t="s">
        <v>78</v>
      </c>
      <c r="Q96" s="2" t="s">
        <v>60</v>
      </c>
      <c r="R96" s="5">
        <v>8.5270833333333336</v>
      </c>
      <c r="S96" s="2" t="s">
        <v>61</v>
      </c>
      <c r="T96" s="2" t="s">
        <v>62</v>
      </c>
    </row>
    <row r="97" spans="1:20" ht="22.8" customHeight="1" x14ac:dyDescent="0.3">
      <c r="A97" s="2" t="s">
        <v>521</v>
      </c>
      <c r="B97" s="2" t="s">
        <v>387</v>
      </c>
      <c r="C97" s="2" t="s">
        <v>388</v>
      </c>
      <c r="D97" s="3">
        <v>46174.73636574074</v>
      </c>
      <c r="E97" s="3">
        <v>46191.455393518518</v>
      </c>
      <c r="F97" s="2" t="s">
        <v>99</v>
      </c>
      <c r="G97" s="2">
        <v>2</v>
      </c>
      <c r="H97" s="2" t="s">
        <v>522</v>
      </c>
      <c r="I97" s="4" t="s">
        <v>235</v>
      </c>
      <c r="J97" s="2"/>
      <c r="K97" s="2" t="s">
        <v>55</v>
      </c>
      <c r="L97" s="2" t="s">
        <v>78</v>
      </c>
      <c r="M97" s="2"/>
      <c r="N97" s="2" t="s">
        <v>78</v>
      </c>
      <c r="O97" s="2" t="s">
        <v>103</v>
      </c>
      <c r="P97" s="2" t="s">
        <v>78</v>
      </c>
      <c r="Q97" s="2" t="s">
        <v>60</v>
      </c>
      <c r="R97" s="5">
        <v>5.4069444444444441</v>
      </c>
      <c r="S97" s="2" t="s">
        <v>61</v>
      </c>
      <c r="T97" s="2" t="s">
        <v>62</v>
      </c>
    </row>
    <row r="98" spans="1:20" ht="22.8" customHeight="1" x14ac:dyDescent="0.3">
      <c r="A98" s="2" t="s">
        <v>523</v>
      </c>
      <c r="B98" s="2" t="s">
        <v>167</v>
      </c>
      <c r="C98" s="2" t="s">
        <v>168</v>
      </c>
      <c r="D98" s="3">
        <v>46175.297337962962</v>
      </c>
      <c r="E98" s="3">
        <v>46175.450243055559</v>
      </c>
      <c r="F98" s="2" t="s">
        <v>275</v>
      </c>
      <c r="G98" s="2">
        <v>3</v>
      </c>
      <c r="H98" s="4" t="s">
        <v>524</v>
      </c>
      <c r="I98" s="2"/>
      <c r="J98" s="2"/>
      <c r="K98" s="2" t="s">
        <v>55</v>
      </c>
      <c r="L98" s="2" t="s">
        <v>126</v>
      </c>
      <c r="M98" s="2" t="s">
        <v>126</v>
      </c>
      <c r="N98" s="2" t="s">
        <v>126</v>
      </c>
      <c r="O98" s="2" t="s">
        <v>225</v>
      </c>
      <c r="P98" s="2" t="s">
        <v>126</v>
      </c>
      <c r="Q98" s="2" t="s">
        <v>60</v>
      </c>
      <c r="R98" s="6">
        <v>0</v>
      </c>
      <c r="S98" s="2" t="s">
        <v>61</v>
      </c>
      <c r="T98" s="2" t="s">
        <v>276</v>
      </c>
    </row>
    <row r="99" spans="1:20" ht="22.8" customHeight="1" x14ac:dyDescent="0.3">
      <c r="A99" s="2" t="s">
        <v>525</v>
      </c>
      <c r="B99" s="2" t="s">
        <v>167</v>
      </c>
      <c r="C99" s="2" t="s">
        <v>168</v>
      </c>
      <c r="D99" s="3">
        <v>46175.29824074074</v>
      </c>
      <c r="E99" s="3">
        <v>46175.450069444443</v>
      </c>
      <c r="F99" s="2" t="s">
        <v>275</v>
      </c>
      <c r="G99" s="2">
        <v>3</v>
      </c>
      <c r="H99" s="4" t="s">
        <v>526</v>
      </c>
      <c r="I99" s="2"/>
      <c r="J99" s="2"/>
      <c r="K99" s="2" t="s">
        <v>55</v>
      </c>
      <c r="L99" s="2" t="s">
        <v>126</v>
      </c>
      <c r="M99" s="2" t="s">
        <v>126</v>
      </c>
      <c r="N99" s="2" t="s">
        <v>126</v>
      </c>
      <c r="O99" s="2" t="s">
        <v>225</v>
      </c>
      <c r="P99" s="2" t="s">
        <v>126</v>
      </c>
      <c r="Q99" s="2" t="s">
        <v>60</v>
      </c>
      <c r="R99" s="6">
        <v>0</v>
      </c>
      <c r="S99" s="2" t="s">
        <v>61</v>
      </c>
      <c r="T99" s="2" t="s">
        <v>276</v>
      </c>
    </row>
    <row r="100" spans="1:20" ht="22.8" customHeight="1" x14ac:dyDescent="0.3">
      <c r="A100" s="2" t="s">
        <v>527</v>
      </c>
      <c r="B100" s="2" t="s">
        <v>167</v>
      </c>
      <c r="C100" s="2" t="s">
        <v>168</v>
      </c>
      <c r="D100" s="3">
        <v>46175.299189814818</v>
      </c>
      <c r="E100" s="3">
        <v>46175.449861111112</v>
      </c>
      <c r="F100" s="2" t="s">
        <v>275</v>
      </c>
      <c r="G100" s="2">
        <v>3</v>
      </c>
      <c r="H100" s="4" t="s">
        <v>528</v>
      </c>
      <c r="I100" s="2"/>
      <c r="J100" s="2"/>
      <c r="K100" s="2" t="s">
        <v>55</v>
      </c>
      <c r="L100" s="2" t="s">
        <v>126</v>
      </c>
      <c r="M100" s="2" t="s">
        <v>126</v>
      </c>
      <c r="N100" s="2" t="s">
        <v>126</v>
      </c>
      <c r="O100" s="2" t="s">
        <v>225</v>
      </c>
      <c r="P100" s="2" t="s">
        <v>126</v>
      </c>
      <c r="Q100" s="2" t="s">
        <v>60</v>
      </c>
      <c r="R100" s="6">
        <v>0</v>
      </c>
      <c r="S100" s="2" t="s">
        <v>61</v>
      </c>
      <c r="T100" s="2" t="s">
        <v>276</v>
      </c>
    </row>
    <row r="101" spans="1:20" ht="22.8" customHeight="1" x14ac:dyDescent="0.3">
      <c r="A101" s="2" t="s">
        <v>529</v>
      </c>
      <c r="B101" s="2" t="s">
        <v>167</v>
      </c>
      <c r="C101" s="2" t="s">
        <v>168</v>
      </c>
      <c r="D101" s="3">
        <v>46175.300520833334</v>
      </c>
      <c r="E101" s="3">
        <v>46175.449629629627</v>
      </c>
      <c r="F101" s="2" t="s">
        <v>275</v>
      </c>
      <c r="G101" s="2">
        <v>3</v>
      </c>
      <c r="H101" s="4" t="s">
        <v>530</v>
      </c>
      <c r="I101" s="2"/>
      <c r="J101" s="2"/>
      <c r="K101" s="2" t="s">
        <v>55</v>
      </c>
      <c r="L101" s="2" t="s">
        <v>126</v>
      </c>
      <c r="M101" s="2" t="s">
        <v>126</v>
      </c>
      <c r="N101" s="2" t="s">
        <v>126</v>
      </c>
      <c r="O101" s="2" t="s">
        <v>225</v>
      </c>
      <c r="P101" s="2" t="s">
        <v>126</v>
      </c>
      <c r="Q101" s="2" t="s">
        <v>60</v>
      </c>
      <c r="R101" s="6">
        <v>0</v>
      </c>
      <c r="S101" s="2" t="s">
        <v>61</v>
      </c>
      <c r="T101" s="2" t="s">
        <v>276</v>
      </c>
    </row>
    <row r="102" spans="1:20" ht="22.8" customHeight="1" x14ac:dyDescent="0.3">
      <c r="A102" s="2" t="s">
        <v>531</v>
      </c>
      <c r="B102" s="2" t="s">
        <v>167</v>
      </c>
      <c r="C102" s="2" t="s">
        <v>168</v>
      </c>
      <c r="D102" s="3">
        <v>46175.30128472222</v>
      </c>
      <c r="E102" s="3">
        <v>46175.44939814815</v>
      </c>
      <c r="F102" s="2" t="s">
        <v>275</v>
      </c>
      <c r="G102" s="2">
        <v>3</v>
      </c>
      <c r="H102" s="4" t="s">
        <v>532</v>
      </c>
      <c r="I102" s="2"/>
      <c r="J102" s="2"/>
      <c r="K102" s="2" t="s">
        <v>55</v>
      </c>
      <c r="L102" s="2" t="s">
        <v>126</v>
      </c>
      <c r="M102" s="2" t="s">
        <v>126</v>
      </c>
      <c r="N102" s="2" t="s">
        <v>126</v>
      </c>
      <c r="O102" s="2" t="s">
        <v>225</v>
      </c>
      <c r="P102" s="2" t="s">
        <v>126</v>
      </c>
      <c r="Q102" s="2" t="s">
        <v>60</v>
      </c>
      <c r="R102" s="6">
        <v>0</v>
      </c>
      <c r="S102" s="2" t="s">
        <v>61</v>
      </c>
      <c r="T102" s="2" t="s">
        <v>276</v>
      </c>
    </row>
    <row r="103" spans="1:20" ht="22.8" customHeight="1" x14ac:dyDescent="0.3">
      <c r="A103" s="2" t="s">
        <v>533</v>
      </c>
      <c r="B103" s="2" t="s">
        <v>167</v>
      </c>
      <c r="C103" s="2" t="s">
        <v>168</v>
      </c>
      <c r="D103" s="3">
        <v>46175.302037037036</v>
      </c>
      <c r="E103" s="3">
        <v>46175.449212962965</v>
      </c>
      <c r="F103" s="2" t="s">
        <v>275</v>
      </c>
      <c r="G103" s="2">
        <v>3</v>
      </c>
      <c r="H103" s="4" t="s">
        <v>534</v>
      </c>
      <c r="I103" s="2"/>
      <c r="J103" s="2"/>
      <c r="K103" s="2" t="s">
        <v>55</v>
      </c>
      <c r="L103" s="2" t="s">
        <v>126</v>
      </c>
      <c r="M103" s="2" t="s">
        <v>126</v>
      </c>
      <c r="N103" s="2" t="s">
        <v>126</v>
      </c>
      <c r="O103" s="2" t="s">
        <v>225</v>
      </c>
      <c r="P103" s="2" t="s">
        <v>126</v>
      </c>
      <c r="Q103" s="2" t="s">
        <v>60</v>
      </c>
      <c r="R103" s="6">
        <v>0</v>
      </c>
      <c r="S103" s="2" t="s">
        <v>61</v>
      </c>
      <c r="T103" s="2" t="s">
        <v>276</v>
      </c>
    </row>
    <row r="104" spans="1:20" ht="22.8" customHeight="1" x14ac:dyDescent="0.3">
      <c r="A104" s="2" t="s">
        <v>535</v>
      </c>
      <c r="B104" s="2" t="s">
        <v>167</v>
      </c>
      <c r="C104" s="2" t="s">
        <v>168</v>
      </c>
      <c r="D104" s="3">
        <v>46175.303252314814</v>
      </c>
      <c r="E104" s="3">
        <v>46175.449050925927</v>
      </c>
      <c r="F104" s="2" t="s">
        <v>275</v>
      </c>
      <c r="G104" s="2">
        <v>3</v>
      </c>
      <c r="H104" s="4" t="s">
        <v>536</v>
      </c>
      <c r="I104" s="2"/>
      <c r="J104" s="2"/>
      <c r="K104" s="2" t="s">
        <v>55</v>
      </c>
      <c r="L104" s="2" t="s">
        <v>126</v>
      </c>
      <c r="M104" s="2" t="s">
        <v>126</v>
      </c>
      <c r="N104" s="2" t="s">
        <v>126</v>
      </c>
      <c r="O104" s="2" t="s">
        <v>225</v>
      </c>
      <c r="P104" s="2" t="s">
        <v>126</v>
      </c>
      <c r="Q104" s="2" t="s">
        <v>60</v>
      </c>
      <c r="R104" s="6">
        <v>0</v>
      </c>
      <c r="S104" s="2" t="s">
        <v>61</v>
      </c>
      <c r="T104" s="2" t="s">
        <v>276</v>
      </c>
    </row>
    <row r="105" spans="1:20" ht="22.8" customHeight="1" x14ac:dyDescent="0.3">
      <c r="A105" s="2" t="s">
        <v>537</v>
      </c>
      <c r="B105" s="2" t="s">
        <v>167</v>
      </c>
      <c r="C105" s="2" t="s">
        <v>168</v>
      </c>
      <c r="D105" s="3">
        <v>46175.303900462961</v>
      </c>
      <c r="E105" s="3">
        <v>46175.448865740742</v>
      </c>
      <c r="F105" s="2" t="s">
        <v>275</v>
      </c>
      <c r="G105" s="2">
        <v>3</v>
      </c>
      <c r="H105" s="4" t="s">
        <v>538</v>
      </c>
      <c r="I105" s="2"/>
      <c r="J105" s="2"/>
      <c r="K105" s="2" t="s">
        <v>55</v>
      </c>
      <c r="L105" s="2" t="s">
        <v>126</v>
      </c>
      <c r="M105" s="2" t="s">
        <v>126</v>
      </c>
      <c r="N105" s="2" t="s">
        <v>126</v>
      </c>
      <c r="O105" s="2" t="s">
        <v>225</v>
      </c>
      <c r="P105" s="2" t="s">
        <v>126</v>
      </c>
      <c r="Q105" s="2" t="s">
        <v>60</v>
      </c>
      <c r="R105" s="6">
        <v>0</v>
      </c>
      <c r="S105" s="2" t="s">
        <v>61</v>
      </c>
      <c r="T105" s="2" t="s">
        <v>276</v>
      </c>
    </row>
    <row r="106" spans="1:20" ht="22.8" customHeight="1" x14ac:dyDescent="0.3">
      <c r="A106" s="2" t="s">
        <v>539</v>
      </c>
      <c r="B106" s="2" t="s">
        <v>167</v>
      </c>
      <c r="C106" s="2" t="s">
        <v>168</v>
      </c>
      <c r="D106" s="3">
        <v>46175.304583333331</v>
      </c>
      <c r="E106" s="3">
        <v>46175.448703703703</v>
      </c>
      <c r="F106" s="2" t="s">
        <v>275</v>
      </c>
      <c r="G106" s="2">
        <v>3</v>
      </c>
      <c r="H106" s="4" t="s">
        <v>540</v>
      </c>
      <c r="I106" s="2"/>
      <c r="J106" s="2"/>
      <c r="K106" s="2" t="s">
        <v>55</v>
      </c>
      <c r="L106" s="2" t="s">
        <v>126</v>
      </c>
      <c r="M106" s="2" t="s">
        <v>126</v>
      </c>
      <c r="N106" s="2" t="s">
        <v>126</v>
      </c>
      <c r="O106" s="2" t="s">
        <v>225</v>
      </c>
      <c r="P106" s="2" t="s">
        <v>126</v>
      </c>
      <c r="Q106" s="2" t="s">
        <v>60</v>
      </c>
      <c r="R106" s="6">
        <v>0</v>
      </c>
      <c r="S106" s="2" t="s">
        <v>61</v>
      </c>
      <c r="T106" s="2" t="s">
        <v>276</v>
      </c>
    </row>
    <row r="107" spans="1:20" ht="22.8" customHeight="1" x14ac:dyDescent="0.3">
      <c r="A107" s="2" t="s">
        <v>541</v>
      </c>
      <c r="B107" s="2" t="s">
        <v>285</v>
      </c>
      <c r="C107" s="2" t="s">
        <v>286</v>
      </c>
      <c r="D107" s="3">
        <v>46175.306458333333</v>
      </c>
      <c r="E107" s="3">
        <v>46175.448495370372</v>
      </c>
      <c r="F107" s="2" t="s">
        <v>275</v>
      </c>
      <c r="G107" s="2">
        <v>3</v>
      </c>
      <c r="H107" s="2" t="s">
        <v>542</v>
      </c>
      <c r="I107" s="2"/>
      <c r="J107" s="2"/>
      <c r="K107" s="2" t="s">
        <v>55</v>
      </c>
      <c r="L107" s="2" t="s">
        <v>126</v>
      </c>
      <c r="M107" s="2" t="s">
        <v>126</v>
      </c>
      <c r="N107" s="2" t="s">
        <v>126</v>
      </c>
      <c r="O107" s="2" t="s">
        <v>225</v>
      </c>
      <c r="P107" s="2" t="s">
        <v>126</v>
      </c>
      <c r="Q107" s="2" t="s">
        <v>60</v>
      </c>
      <c r="R107" s="6">
        <v>0</v>
      </c>
      <c r="S107" s="2" t="s">
        <v>61</v>
      </c>
      <c r="T107" s="2" t="s">
        <v>276</v>
      </c>
    </row>
    <row r="108" spans="1:20" ht="22.8" customHeight="1" x14ac:dyDescent="0.3">
      <c r="A108" s="2" t="s">
        <v>543</v>
      </c>
      <c r="B108" s="2" t="s">
        <v>285</v>
      </c>
      <c r="C108" s="2" t="s">
        <v>286</v>
      </c>
      <c r="D108" s="3">
        <v>46175.30709490741</v>
      </c>
      <c r="E108" s="3">
        <v>46175.44740740741</v>
      </c>
      <c r="F108" s="2" t="s">
        <v>275</v>
      </c>
      <c r="G108" s="2">
        <v>3</v>
      </c>
      <c r="H108" s="2" t="s">
        <v>544</v>
      </c>
      <c r="I108" s="2"/>
      <c r="J108" s="2"/>
      <c r="K108" s="2" t="s">
        <v>55</v>
      </c>
      <c r="L108" s="2" t="s">
        <v>126</v>
      </c>
      <c r="M108" s="2" t="s">
        <v>126</v>
      </c>
      <c r="N108" s="2" t="s">
        <v>126</v>
      </c>
      <c r="O108" s="2" t="s">
        <v>225</v>
      </c>
      <c r="P108" s="2" t="s">
        <v>126</v>
      </c>
      <c r="Q108" s="2" t="s">
        <v>60</v>
      </c>
      <c r="R108" s="6">
        <v>0</v>
      </c>
      <c r="S108" s="2" t="s">
        <v>61</v>
      </c>
      <c r="T108" s="2" t="s">
        <v>276</v>
      </c>
    </row>
    <row r="109" spans="1:20" ht="22.8" customHeight="1" x14ac:dyDescent="0.3">
      <c r="A109" s="2" t="s">
        <v>545</v>
      </c>
      <c r="B109" s="2" t="s">
        <v>285</v>
      </c>
      <c r="C109" s="2" t="s">
        <v>286</v>
      </c>
      <c r="D109" s="3">
        <v>46175.308206018519</v>
      </c>
      <c r="E109" s="3">
        <v>46175.447268518517</v>
      </c>
      <c r="F109" s="2" t="s">
        <v>275</v>
      </c>
      <c r="G109" s="2">
        <v>3</v>
      </c>
      <c r="H109" s="2" t="s">
        <v>546</v>
      </c>
      <c r="I109" s="2"/>
      <c r="J109" s="2"/>
      <c r="K109" s="2" t="s">
        <v>55</v>
      </c>
      <c r="L109" s="2" t="s">
        <v>126</v>
      </c>
      <c r="M109" s="2" t="s">
        <v>126</v>
      </c>
      <c r="N109" s="2" t="s">
        <v>126</v>
      </c>
      <c r="O109" s="2" t="s">
        <v>225</v>
      </c>
      <c r="P109" s="2" t="s">
        <v>126</v>
      </c>
      <c r="Q109" s="2" t="s">
        <v>60</v>
      </c>
      <c r="R109" s="6">
        <v>0</v>
      </c>
      <c r="S109" s="2" t="s">
        <v>61</v>
      </c>
      <c r="T109" s="2" t="s">
        <v>276</v>
      </c>
    </row>
    <row r="110" spans="1:20" ht="22.8" customHeight="1" x14ac:dyDescent="0.3">
      <c r="A110" s="2" t="s">
        <v>547</v>
      </c>
      <c r="B110" s="2" t="s">
        <v>285</v>
      </c>
      <c r="C110" s="2" t="s">
        <v>286</v>
      </c>
      <c r="D110" s="3">
        <v>46175.308738425927</v>
      </c>
      <c r="E110" s="3">
        <v>46175.447060185186</v>
      </c>
      <c r="F110" s="2" t="s">
        <v>275</v>
      </c>
      <c r="G110" s="2">
        <v>3</v>
      </c>
      <c r="H110" s="2" t="s">
        <v>548</v>
      </c>
      <c r="I110" s="2"/>
      <c r="J110" s="2"/>
      <c r="K110" s="2" t="s">
        <v>55</v>
      </c>
      <c r="L110" s="2" t="s">
        <v>126</v>
      </c>
      <c r="M110" s="2" t="s">
        <v>126</v>
      </c>
      <c r="N110" s="2" t="s">
        <v>126</v>
      </c>
      <c r="O110" s="2" t="s">
        <v>225</v>
      </c>
      <c r="P110" s="2" t="s">
        <v>126</v>
      </c>
      <c r="Q110" s="2" t="s">
        <v>60</v>
      </c>
      <c r="R110" s="6">
        <v>0</v>
      </c>
      <c r="S110" s="2" t="s">
        <v>61</v>
      </c>
      <c r="T110" s="2" t="s">
        <v>276</v>
      </c>
    </row>
    <row r="111" spans="1:20" ht="22.8" customHeight="1" x14ac:dyDescent="0.3">
      <c r="A111" s="2" t="s">
        <v>549</v>
      </c>
      <c r="B111" s="2" t="s">
        <v>285</v>
      </c>
      <c r="C111" s="2" t="s">
        <v>286</v>
      </c>
      <c r="D111" s="3">
        <v>46175.309884259259</v>
      </c>
      <c r="E111" s="3">
        <v>46175.446782407409</v>
      </c>
      <c r="F111" s="2" t="s">
        <v>275</v>
      </c>
      <c r="G111" s="2">
        <v>3</v>
      </c>
      <c r="H111" s="2" t="s">
        <v>550</v>
      </c>
      <c r="I111" s="2"/>
      <c r="J111" s="2"/>
      <c r="K111" s="2" t="s">
        <v>55</v>
      </c>
      <c r="L111" s="2" t="s">
        <v>126</v>
      </c>
      <c r="M111" s="2" t="s">
        <v>126</v>
      </c>
      <c r="N111" s="2" t="s">
        <v>126</v>
      </c>
      <c r="O111" s="2" t="s">
        <v>225</v>
      </c>
      <c r="P111" s="2" t="s">
        <v>126</v>
      </c>
      <c r="Q111" s="2" t="s">
        <v>60</v>
      </c>
      <c r="R111" s="6">
        <v>0</v>
      </c>
      <c r="S111" s="2" t="s">
        <v>61</v>
      </c>
      <c r="T111" s="2" t="s">
        <v>276</v>
      </c>
    </row>
    <row r="112" spans="1:20" ht="22.8" customHeight="1" x14ac:dyDescent="0.3">
      <c r="A112" s="2" t="s">
        <v>551</v>
      </c>
      <c r="B112" s="2" t="s">
        <v>552</v>
      </c>
      <c r="C112" s="2" t="s">
        <v>553</v>
      </c>
      <c r="D112" s="3">
        <v>46175.421006944445</v>
      </c>
      <c r="E112" s="3">
        <v>46184.400370370371</v>
      </c>
      <c r="F112" s="2" t="s">
        <v>123</v>
      </c>
      <c r="G112" s="2">
        <v>3</v>
      </c>
      <c r="H112" s="2" t="s">
        <v>234</v>
      </c>
      <c r="I112" s="4" t="s">
        <v>554</v>
      </c>
      <c r="J112" s="2"/>
      <c r="K112" s="2" t="s">
        <v>55</v>
      </c>
      <c r="L112" s="2" t="s">
        <v>78</v>
      </c>
      <c r="M112" s="2"/>
      <c r="N112" s="2" t="s">
        <v>78</v>
      </c>
      <c r="O112" s="2" t="s">
        <v>94</v>
      </c>
      <c r="P112" s="2" t="s">
        <v>78</v>
      </c>
      <c r="Q112" s="2" t="s">
        <v>60</v>
      </c>
      <c r="R112" s="5">
        <v>3.0423611111111111</v>
      </c>
      <c r="S112" s="2" t="s">
        <v>61</v>
      </c>
      <c r="T112" s="2" t="s">
        <v>62</v>
      </c>
    </row>
    <row r="113" spans="1:20" ht="22.8" customHeight="1" x14ac:dyDescent="0.3">
      <c r="A113" s="2" t="s">
        <v>555</v>
      </c>
      <c r="B113" s="2" t="s">
        <v>556</v>
      </c>
      <c r="C113" s="2" t="s">
        <v>557</v>
      </c>
      <c r="D113" s="3">
        <v>46175.443784722222</v>
      </c>
      <c r="E113" s="3">
        <v>46182.417893518519</v>
      </c>
      <c r="F113" s="2" t="s">
        <v>97</v>
      </c>
      <c r="G113" s="2">
        <v>3</v>
      </c>
      <c r="H113" s="2" t="s">
        <v>558</v>
      </c>
      <c r="I113" s="2"/>
      <c r="J113" s="2"/>
      <c r="K113" s="2" t="s">
        <v>67</v>
      </c>
      <c r="L113" s="2" t="s">
        <v>105</v>
      </c>
      <c r="M113" s="2"/>
      <c r="N113" s="2" t="s">
        <v>98</v>
      </c>
      <c r="O113" s="2" t="s">
        <v>106</v>
      </c>
      <c r="P113" s="2" t="s">
        <v>105</v>
      </c>
      <c r="Q113" s="2" t="s">
        <v>60</v>
      </c>
      <c r="R113" s="5">
        <v>2.1618055555555555</v>
      </c>
      <c r="S113" s="2" t="s">
        <v>61</v>
      </c>
      <c r="T113" s="2" t="s">
        <v>62</v>
      </c>
    </row>
    <row r="114" spans="1:20" ht="22.8" customHeight="1" x14ac:dyDescent="0.3">
      <c r="A114" s="2" t="s">
        <v>559</v>
      </c>
      <c r="B114" s="2" t="s">
        <v>560</v>
      </c>
      <c r="C114" s="2" t="s">
        <v>561</v>
      </c>
      <c r="D114" s="3">
        <v>46175.462708333333</v>
      </c>
      <c r="E114" s="3">
        <v>46181.664166666669</v>
      </c>
      <c r="F114" s="2" t="s">
        <v>93</v>
      </c>
      <c r="G114" s="2">
        <v>3</v>
      </c>
      <c r="H114" s="2" t="s">
        <v>562</v>
      </c>
      <c r="I114" s="4" t="s">
        <v>563</v>
      </c>
      <c r="J114" s="2"/>
      <c r="K114" s="2" t="s">
        <v>67</v>
      </c>
      <c r="L114" s="2" t="s">
        <v>78</v>
      </c>
      <c r="M114" s="2"/>
      <c r="N114" s="2" t="s">
        <v>81</v>
      </c>
      <c r="O114" s="2" t="s">
        <v>80</v>
      </c>
      <c r="P114" s="2" t="s">
        <v>78</v>
      </c>
      <c r="Q114" s="2" t="s">
        <v>60</v>
      </c>
      <c r="R114" s="5">
        <v>1.2625</v>
      </c>
      <c r="S114" s="2" t="s">
        <v>61</v>
      </c>
      <c r="T114" s="2" t="s">
        <v>62</v>
      </c>
    </row>
    <row r="115" spans="1:20" ht="22.8" customHeight="1" x14ac:dyDescent="0.3">
      <c r="A115" s="2" t="s">
        <v>564</v>
      </c>
      <c r="B115" s="2" t="s">
        <v>565</v>
      </c>
      <c r="C115" s="2" t="s">
        <v>566</v>
      </c>
      <c r="D115" s="3">
        <v>46175.464918981481</v>
      </c>
      <c r="E115" s="3">
        <v>46181.663611111115</v>
      </c>
      <c r="F115" s="2" t="s">
        <v>93</v>
      </c>
      <c r="G115" s="2">
        <v>3</v>
      </c>
      <c r="H115" s="2" t="s">
        <v>562</v>
      </c>
      <c r="I115" s="4" t="s">
        <v>563</v>
      </c>
      <c r="J115" s="2"/>
      <c r="K115" s="2" t="s">
        <v>67</v>
      </c>
      <c r="L115" s="2" t="s">
        <v>78</v>
      </c>
      <c r="M115" s="2"/>
      <c r="N115" s="2" t="s">
        <v>81</v>
      </c>
      <c r="O115" s="2" t="s">
        <v>80</v>
      </c>
      <c r="P115" s="2" t="s">
        <v>78</v>
      </c>
      <c r="Q115" s="2" t="s">
        <v>60</v>
      </c>
      <c r="R115" s="5">
        <v>1.2597222222222222</v>
      </c>
      <c r="S115" s="2" t="s">
        <v>61</v>
      </c>
      <c r="T115" s="2" t="s">
        <v>62</v>
      </c>
    </row>
    <row r="116" spans="1:20" ht="22.8" customHeight="1" x14ac:dyDescent="0.3">
      <c r="A116" s="2" t="s">
        <v>573</v>
      </c>
      <c r="B116" s="2" t="s">
        <v>68</v>
      </c>
      <c r="C116" s="2" t="s">
        <v>69</v>
      </c>
      <c r="D116" s="3">
        <v>46175.656284722223</v>
      </c>
      <c r="E116" s="3">
        <v>46176.539502314816</v>
      </c>
      <c r="F116" s="2" t="s">
        <v>97</v>
      </c>
      <c r="G116" s="2">
        <v>2</v>
      </c>
      <c r="H116" s="2" t="s">
        <v>574</v>
      </c>
      <c r="I116" s="4" t="s">
        <v>575</v>
      </c>
      <c r="J116" s="2"/>
      <c r="K116" s="2" t="s">
        <v>55</v>
      </c>
      <c r="L116" s="2" t="s">
        <v>105</v>
      </c>
      <c r="M116" s="2"/>
      <c r="N116" s="2" t="s">
        <v>98</v>
      </c>
      <c r="O116" s="2" t="s">
        <v>171</v>
      </c>
      <c r="P116" s="2" t="s">
        <v>105</v>
      </c>
      <c r="Q116" s="2" t="s">
        <v>60</v>
      </c>
      <c r="R116" s="6">
        <v>0.32083333333333336</v>
      </c>
      <c r="S116" s="2" t="s">
        <v>61</v>
      </c>
      <c r="T116" s="2" t="s">
        <v>62</v>
      </c>
    </row>
    <row r="117" spans="1:20" ht="22.8" customHeight="1" x14ac:dyDescent="0.3">
      <c r="A117" s="2" t="s">
        <v>576</v>
      </c>
      <c r="B117" s="2" t="s">
        <v>185</v>
      </c>
      <c r="C117" s="2" t="s">
        <v>186</v>
      </c>
      <c r="D117" s="3">
        <v>46175.658229166664</v>
      </c>
      <c r="E117" s="3">
        <v>46176.421805555554</v>
      </c>
      <c r="F117" s="2" t="s">
        <v>128</v>
      </c>
      <c r="G117" s="2">
        <v>2</v>
      </c>
      <c r="H117" s="2" t="s">
        <v>129</v>
      </c>
      <c r="I117" s="4" t="s">
        <v>577</v>
      </c>
      <c r="J117" s="2"/>
      <c r="K117" s="2" t="s">
        <v>55</v>
      </c>
      <c r="L117" s="2" t="s">
        <v>71</v>
      </c>
      <c r="M117" s="2"/>
      <c r="N117" s="2" t="s">
        <v>71</v>
      </c>
      <c r="O117" s="2" t="s">
        <v>130</v>
      </c>
      <c r="P117" s="2" t="s">
        <v>71</v>
      </c>
      <c r="Q117" s="2" t="s">
        <v>60</v>
      </c>
      <c r="R117" s="6">
        <v>0.2013888888888889</v>
      </c>
      <c r="S117" s="2" t="s">
        <v>61</v>
      </c>
      <c r="T117" s="2" t="s">
        <v>62</v>
      </c>
    </row>
    <row r="118" spans="1:20" ht="22.8" customHeight="1" x14ac:dyDescent="0.3">
      <c r="A118" s="2" t="s">
        <v>584</v>
      </c>
      <c r="B118" s="2" t="s">
        <v>585</v>
      </c>
      <c r="C118" s="2" t="s">
        <v>586</v>
      </c>
      <c r="D118" s="3">
        <v>46176.428206018521</v>
      </c>
      <c r="E118" s="3">
        <v>46183.527581018519</v>
      </c>
      <c r="F118" s="2" t="s">
        <v>77</v>
      </c>
      <c r="G118" s="2">
        <v>3</v>
      </c>
      <c r="H118" s="2" t="s">
        <v>587</v>
      </c>
      <c r="I118" s="4" t="s">
        <v>588</v>
      </c>
      <c r="J118" s="2"/>
      <c r="K118" s="2" t="s">
        <v>67</v>
      </c>
      <c r="L118" s="2" t="s">
        <v>78</v>
      </c>
      <c r="M118" s="2"/>
      <c r="N118" s="2" t="s">
        <v>79</v>
      </c>
      <c r="O118" s="2" t="s">
        <v>80</v>
      </c>
      <c r="P118" s="2" t="s">
        <v>78</v>
      </c>
      <c r="Q118" s="2" t="s">
        <v>60</v>
      </c>
      <c r="R118" s="5">
        <v>2.2875000000000001</v>
      </c>
      <c r="S118" s="2" t="s">
        <v>61</v>
      </c>
      <c r="T118" s="2" t="s">
        <v>62</v>
      </c>
    </row>
    <row r="119" spans="1:20" ht="22.8" customHeight="1" x14ac:dyDescent="0.3">
      <c r="A119" s="2" t="s">
        <v>589</v>
      </c>
      <c r="B119" s="2" t="s">
        <v>167</v>
      </c>
      <c r="C119" s="2" t="s">
        <v>168</v>
      </c>
      <c r="D119" s="3">
        <v>46176.432581018518</v>
      </c>
      <c r="E119" s="3">
        <v>46176.543495370373</v>
      </c>
      <c r="F119" s="2" t="s">
        <v>275</v>
      </c>
      <c r="G119" s="2">
        <v>3</v>
      </c>
      <c r="H119" s="4" t="s">
        <v>590</v>
      </c>
      <c r="I119" s="2"/>
      <c r="J119" s="2"/>
      <c r="K119" s="2" t="s">
        <v>55</v>
      </c>
      <c r="L119" s="2" t="s">
        <v>126</v>
      </c>
      <c r="M119" s="2" t="s">
        <v>126</v>
      </c>
      <c r="N119" s="2" t="s">
        <v>126</v>
      </c>
      <c r="O119" s="2" t="s">
        <v>225</v>
      </c>
      <c r="P119" s="2" t="s">
        <v>126</v>
      </c>
      <c r="Q119" s="2" t="s">
        <v>60</v>
      </c>
      <c r="R119" s="6">
        <v>0</v>
      </c>
      <c r="S119" s="2" t="s">
        <v>61</v>
      </c>
      <c r="T119" s="2" t="s">
        <v>276</v>
      </c>
    </row>
    <row r="120" spans="1:20" ht="22.8" customHeight="1" x14ac:dyDescent="0.3">
      <c r="A120" s="2" t="s">
        <v>591</v>
      </c>
      <c r="B120" s="2" t="s">
        <v>167</v>
      </c>
      <c r="C120" s="2" t="s">
        <v>168</v>
      </c>
      <c r="D120" s="3">
        <v>46176.433587962965</v>
      </c>
      <c r="E120" s="3">
        <v>46176.543321759258</v>
      </c>
      <c r="F120" s="2" t="s">
        <v>275</v>
      </c>
      <c r="G120" s="2">
        <v>3</v>
      </c>
      <c r="H120" s="4" t="s">
        <v>592</v>
      </c>
      <c r="I120" s="2"/>
      <c r="J120" s="2"/>
      <c r="K120" s="2" t="s">
        <v>55</v>
      </c>
      <c r="L120" s="2" t="s">
        <v>126</v>
      </c>
      <c r="M120" s="2" t="s">
        <v>126</v>
      </c>
      <c r="N120" s="2" t="s">
        <v>126</v>
      </c>
      <c r="O120" s="2" t="s">
        <v>225</v>
      </c>
      <c r="P120" s="2" t="s">
        <v>126</v>
      </c>
      <c r="Q120" s="2" t="s">
        <v>60</v>
      </c>
      <c r="R120" s="6">
        <v>0</v>
      </c>
      <c r="S120" s="2" t="s">
        <v>61</v>
      </c>
      <c r="T120" s="2" t="s">
        <v>276</v>
      </c>
    </row>
    <row r="121" spans="1:20" ht="22.8" customHeight="1" x14ac:dyDescent="0.3">
      <c r="A121" s="2" t="s">
        <v>593</v>
      </c>
      <c r="B121" s="2" t="s">
        <v>167</v>
      </c>
      <c r="C121" s="2" t="s">
        <v>168</v>
      </c>
      <c r="D121" s="3">
        <v>46176.434479166666</v>
      </c>
      <c r="E121" s="3">
        <v>46176.543182870373</v>
      </c>
      <c r="F121" s="2" t="s">
        <v>275</v>
      </c>
      <c r="G121" s="2">
        <v>3</v>
      </c>
      <c r="H121" s="4" t="s">
        <v>594</v>
      </c>
      <c r="I121" s="2"/>
      <c r="J121" s="2"/>
      <c r="K121" s="2" t="s">
        <v>55</v>
      </c>
      <c r="L121" s="2" t="s">
        <v>126</v>
      </c>
      <c r="M121" s="2" t="s">
        <v>126</v>
      </c>
      <c r="N121" s="2" t="s">
        <v>126</v>
      </c>
      <c r="O121" s="2" t="s">
        <v>225</v>
      </c>
      <c r="P121" s="2" t="s">
        <v>126</v>
      </c>
      <c r="Q121" s="2" t="s">
        <v>60</v>
      </c>
      <c r="R121" s="6">
        <v>0</v>
      </c>
      <c r="S121" s="2" t="s">
        <v>61</v>
      </c>
      <c r="T121" s="2" t="s">
        <v>276</v>
      </c>
    </row>
    <row r="122" spans="1:20" ht="22.8" customHeight="1" x14ac:dyDescent="0.3">
      <c r="A122" s="2" t="s">
        <v>595</v>
      </c>
      <c r="B122" s="2" t="s">
        <v>167</v>
      </c>
      <c r="C122" s="2" t="s">
        <v>168</v>
      </c>
      <c r="D122" s="3">
        <v>46176.437141203707</v>
      </c>
      <c r="E122" s="3">
        <v>46176.543020833335</v>
      </c>
      <c r="F122" s="2" t="s">
        <v>275</v>
      </c>
      <c r="G122" s="2">
        <v>3</v>
      </c>
      <c r="H122" s="4" t="s">
        <v>596</v>
      </c>
      <c r="I122" s="2"/>
      <c r="J122" s="2"/>
      <c r="K122" s="2" t="s">
        <v>55</v>
      </c>
      <c r="L122" s="2" t="s">
        <v>126</v>
      </c>
      <c r="M122" s="2" t="s">
        <v>126</v>
      </c>
      <c r="N122" s="2" t="s">
        <v>126</v>
      </c>
      <c r="O122" s="2" t="s">
        <v>225</v>
      </c>
      <c r="P122" s="2" t="s">
        <v>126</v>
      </c>
      <c r="Q122" s="2" t="s">
        <v>60</v>
      </c>
      <c r="R122" s="6">
        <v>0</v>
      </c>
      <c r="S122" s="2" t="s">
        <v>61</v>
      </c>
      <c r="T122" s="2" t="s">
        <v>276</v>
      </c>
    </row>
    <row r="123" spans="1:20" ht="22.8" customHeight="1" x14ac:dyDescent="0.3">
      <c r="A123" s="2" t="s">
        <v>597</v>
      </c>
      <c r="B123" s="2" t="s">
        <v>598</v>
      </c>
      <c r="C123" s="2" t="s">
        <v>599</v>
      </c>
      <c r="D123" s="3">
        <v>46176.44017361111</v>
      </c>
      <c r="E123" s="3">
        <v>46182.524560185186</v>
      </c>
      <c r="F123" s="2" t="s">
        <v>84</v>
      </c>
      <c r="G123" s="2">
        <v>2</v>
      </c>
      <c r="H123" s="2" t="s">
        <v>136</v>
      </c>
      <c r="I123" s="4" t="s">
        <v>600</v>
      </c>
      <c r="J123" s="2"/>
      <c r="K123" s="2" t="s">
        <v>55</v>
      </c>
      <c r="L123" s="2" t="s">
        <v>102</v>
      </c>
      <c r="M123" s="2"/>
      <c r="N123" s="2" t="s">
        <v>86</v>
      </c>
      <c r="O123" s="2" t="s">
        <v>87</v>
      </c>
      <c r="P123" s="2" t="s">
        <v>102</v>
      </c>
      <c r="Q123" s="2" t="s">
        <v>60</v>
      </c>
      <c r="R123" s="5">
        <v>1.8347222222222221</v>
      </c>
      <c r="S123" s="2" t="s">
        <v>61</v>
      </c>
      <c r="T123" s="2" t="s">
        <v>62</v>
      </c>
    </row>
    <row r="124" spans="1:20" ht="22.8" customHeight="1" x14ac:dyDescent="0.3">
      <c r="A124" s="2" t="s">
        <v>601</v>
      </c>
      <c r="B124" s="2" t="s">
        <v>602</v>
      </c>
      <c r="C124" s="2" t="s">
        <v>603</v>
      </c>
      <c r="D124" s="3">
        <v>46176.450706018521</v>
      </c>
      <c r="E124" s="3">
        <v>46176.594895833332</v>
      </c>
      <c r="F124" s="2" t="s">
        <v>109</v>
      </c>
      <c r="G124" s="2">
        <v>2</v>
      </c>
      <c r="H124" s="4" t="s">
        <v>604</v>
      </c>
      <c r="I124" s="4" t="s">
        <v>132</v>
      </c>
      <c r="J124" s="2"/>
      <c r="K124" s="2" t="s">
        <v>55</v>
      </c>
      <c r="L124" s="2" t="s">
        <v>110</v>
      </c>
      <c r="M124" s="2"/>
      <c r="N124" s="2" t="s">
        <v>119</v>
      </c>
      <c r="O124" s="2" t="s">
        <v>111</v>
      </c>
      <c r="P124" s="2" t="s">
        <v>110</v>
      </c>
      <c r="Q124" s="2" t="s">
        <v>60</v>
      </c>
      <c r="R124" s="6">
        <v>0.14444444444444443</v>
      </c>
      <c r="S124" s="2" t="s">
        <v>61</v>
      </c>
      <c r="T124" s="2" t="s">
        <v>62</v>
      </c>
    </row>
    <row r="125" spans="1:20" ht="22.8" customHeight="1" x14ac:dyDescent="0.3">
      <c r="A125" s="2" t="s">
        <v>605</v>
      </c>
      <c r="B125" s="2" t="s">
        <v>606</v>
      </c>
      <c r="C125" s="2" t="s">
        <v>607</v>
      </c>
      <c r="D125" s="3">
        <v>46176.452384259261</v>
      </c>
      <c r="E125" s="3">
        <v>46184.714814814812</v>
      </c>
      <c r="F125" s="2" t="s">
        <v>77</v>
      </c>
      <c r="G125" s="2">
        <v>3</v>
      </c>
      <c r="H125" s="2" t="s">
        <v>608</v>
      </c>
      <c r="I125" s="4" t="s">
        <v>609</v>
      </c>
      <c r="J125" s="2"/>
      <c r="K125" s="2" t="s">
        <v>55</v>
      </c>
      <c r="L125" s="2" t="s">
        <v>81</v>
      </c>
      <c r="M125" s="2"/>
      <c r="N125" s="2" t="s">
        <v>78</v>
      </c>
      <c r="O125" s="2" t="s">
        <v>107</v>
      </c>
      <c r="P125" s="2" t="s">
        <v>81</v>
      </c>
      <c r="Q125" s="2" t="s">
        <v>60</v>
      </c>
      <c r="R125" s="5">
        <v>2.8875000000000002</v>
      </c>
      <c r="S125" s="2" t="s">
        <v>61</v>
      </c>
      <c r="T125" s="2" t="s">
        <v>62</v>
      </c>
    </row>
    <row r="126" spans="1:20" ht="22.8" customHeight="1" x14ac:dyDescent="0.3">
      <c r="A126" s="2" t="s">
        <v>610</v>
      </c>
      <c r="B126" s="2" t="s">
        <v>611</v>
      </c>
      <c r="C126" s="2" t="s">
        <v>612</v>
      </c>
      <c r="D126" s="3">
        <v>46176.466180555559</v>
      </c>
      <c r="E126" s="3">
        <v>46177.37096064815</v>
      </c>
      <c r="F126" s="2" t="s">
        <v>150</v>
      </c>
      <c r="G126" s="2">
        <v>2</v>
      </c>
      <c r="H126" s="2" t="s">
        <v>613</v>
      </c>
      <c r="I126" s="4" t="s">
        <v>614</v>
      </c>
      <c r="J126" s="2"/>
      <c r="K126" s="2" t="s">
        <v>76</v>
      </c>
      <c r="L126" s="2" t="s">
        <v>137</v>
      </c>
      <c r="M126" s="2"/>
      <c r="N126" s="2" t="s">
        <v>137</v>
      </c>
      <c r="O126" s="2" t="s">
        <v>151</v>
      </c>
      <c r="P126" s="2" t="s">
        <v>137</v>
      </c>
      <c r="Q126" s="2" t="s">
        <v>60</v>
      </c>
      <c r="R126" s="6">
        <v>0.34236111111111112</v>
      </c>
      <c r="S126" s="2" t="s">
        <v>61</v>
      </c>
      <c r="T126" s="2" t="s">
        <v>62</v>
      </c>
    </row>
    <row r="127" spans="1:20" ht="22.8" customHeight="1" x14ac:dyDescent="0.3">
      <c r="A127" s="2" t="s">
        <v>615</v>
      </c>
      <c r="B127" s="2" t="s">
        <v>616</v>
      </c>
      <c r="C127" s="2" t="s">
        <v>617</v>
      </c>
      <c r="D127" s="3">
        <v>46176.468842592592</v>
      </c>
      <c r="E127" s="3">
        <v>46198.387858796297</v>
      </c>
      <c r="F127" s="2" t="s">
        <v>118</v>
      </c>
      <c r="G127" s="2">
        <v>3</v>
      </c>
      <c r="H127" s="4" t="s">
        <v>618</v>
      </c>
      <c r="I127" s="4" t="s">
        <v>619</v>
      </c>
      <c r="J127" s="2"/>
      <c r="K127" s="2" t="s">
        <v>55</v>
      </c>
      <c r="L127" s="2" t="s">
        <v>78</v>
      </c>
      <c r="M127" s="2"/>
      <c r="N127" s="2" t="s">
        <v>78</v>
      </c>
      <c r="O127" s="2" t="s">
        <v>103</v>
      </c>
      <c r="P127" s="2" t="s">
        <v>78</v>
      </c>
      <c r="Q127" s="2" t="s">
        <v>60</v>
      </c>
      <c r="R127" s="5">
        <v>2.838888888888889</v>
      </c>
      <c r="S127" s="2" t="s">
        <v>61</v>
      </c>
      <c r="T127" s="2" t="s">
        <v>62</v>
      </c>
    </row>
    <row r="128" spans="1:20" ht="22.8" customHeight="1" x14ac:dyDescent="0.3">
      <c r="A128" s="2" t="s">
        <v>620</v>
      </c>
      <c r="B128" s="2" t="s">
        <v>621</v>
      </c>
      <c r="C128" s="2" t="s">
        <v>622</v>
      </c>
      <c r="D128" s="3">
        <v>46176.5153125</v>
      </c>
      <c r="E128" s="3">
        <v>46196.484236111108</v>
      </c>
      <c r="F128" s="2" t="s">
        <v>77</v>
      </c>
      <c r="G128" s="2">
        <v>3</v>
      </c>
      <c r="H128" s="2" t="s">
        <v>623</v>
      </c>
      <c r="I128" s="4" t="s">
        <v>624</v>
      </c>
      <c r="J128" s="2"/>
      <c r="K128" s="2" t="s">
        <v>55</v>
      </c>
      <c r="L128" s="2" t="s">
        <v>81</v>
      </c>
      <c r="M128" s="2"/>
      <c r="N128" s="2" t="s">
        <v>78</v>
      </c>
      <c r="O128" s="2" t="s">
        <v>94</v>
      </c>
      <c r="P128" s="2" t="s">
        <v>81</v>
      </c>
      <c r="Q128" s="2" t="s">
        <v>60</v>
      </c>
      <c r="R128" s="5">
        <v>6.0944444444444441</v>
      </c>
      <c r="S128" s="2" t="s">
        <v>61</v>
      </c>
      <c r="T128" s="2" t="s">
        <v>62</v>
      </c>
    </row>
    <row r="129" spans="1:20" ht="22.8" customHeight="1" x14ac:dyDescent="0.3">
      <c r="A129" s="2" t="s">
        <v>625</v>
      </c>
      <c r="B129" s="2" t="s">
        <v>626</v>
      </c>
      <c r="C129" s="2" t="s">
        <v>627</v>
      </c>
      <c r="D129" s="3">
        <v>46176.537141203706</v>
      </c>
      <c r="E129" s="3">
        <v>46178.689976851849</v>
      </c>
      <c r="F129" s="2" t="s">
        <v>97</v>
      </c>
      <c r="G129" s="2">
        <v>2</v>
      </c>
      <c r="H129" s="2" t="s">
        <v>628</v>
      </c>
      <c r="I129" s="2"/>
      <c r="J129" s="2"/>
      <c r="K129" s="2" t="s">
        <v>67</v>
      </c>
      <c r="L129" s="2" t="s">
        <v>105</v>
      </c>
      <c r="M129" s="2"/>
      <c r="N129" s="2" t="s">
        <v>98</v>
      </c>
      <c r="O129" s="2" t="s">
        <v>106</v>
      </c>
      <c r="P129" s="2" t="s">
        <v>105</v>
      </c>
      <c r="Q129" s="2" t="s">
        <v>60</v>
      </c>
      <c r="R129" s="5">
        <v>1.0284722222222222</v>
      </c>
      <c r="S129" s="2" t="s">
        <v>61</v>
      </c>
      <c r="T129" s="2" t="s">
        <v>62</v>
      </c>
    </row>
    <row r="130" spans="1:20" ht="22.8" customHeight="1" x14ac:dyDescent="0.3">
      <c r="A130" s="2" t="s">
        <v>651</v>
      </c>
      <c r="B130" s="2" t="s">
        <v>163</v>
      </c>
      <c r="C130" s="2" t="s">
        <v>164</v>
      </c>
      <c r="D130" s="3">
        <v>46177.381666666668</v>
      </c>
      <c r="E130" s="3">
        <v>46191.457453703704</v>
      </c>
      <c r="F130" s="2" t="s">
        <v>77</v>
      </c>
      <c r="G130" s="2">
        <v>3</v>
      </c>
      <c r="H130" s="2" t="s">
        <v>652</v>
      </c>
      <c r="I130" s="4" t="s">
        <v>653</v>
      </c>
      <c r="J130" s="2"/>
      <c r="K130" s="2" t="s">
        <v>55</v>
      </c>
      <c r="L130" s="2" t="s">
        <v>78</v>
      </c>
      <c r="M130" s="2"/>
      <c r="N130" s="2" t="s">
        <v>78</v>
      </c>
      <c r="O130" s="2" t="s">
        <v>103</v>
      </c>
      <c r="P130" s="2" t="s">
        <v>78</v>
      </c>
      <c r="Q130" s="2" t="s">
        <v>60</v>
      </c>
      <c r="R130" s="5">
        <v>4.4513888888888893</v>
      </c>
      <c r="S130" s="2" t="s">
        <v>61</v>
      </c>
      <c r="T130" s="2" t="s">
        <v>62</v>
      </c>
    </row>
    <row r="131" spans="1:20" ht="22.8" customHeight="1" x14ac:dyDescent="0.3">
      <c r="A131" s="2" t="s">
        <v>654</v>
      </c>
      <c r="B131" s="2" t="s">
        <v>80</v>
      </c>
      <c r="C131" s="2" t="s">
        <v>655</v>
      </c>
      <c r="D131" s="3">
        <v>46177.38921296296</v>
      </c>
      <c r="E131" s="3">
        <v>46178.688240740739</v>
      </c>
      <c r="F131" s="2" t="s">
        <v>63</v>
      </c>
      <c r="G131" s="2">
        <v>3</v>
      </c>
      <c r="H131" s="2" t="s">
        <v>656</v>
      </c>
      <c r="I131" s="4" t="s">
        <v>657</v>
      </c>
      <c r="J131" s="2"/>
      <c r="K131" s="2" t="s">
        <v>67</v>
      </c>
      <c r="L131" s="2" t="s">
        <v>58</v>
      </c>
      <c r="M131" s="2"/>
      <c r="N131" s="2" t="s">
        <v>58</v>
      </c>
      <c r="O131" s="2" t="s">
        <v>65</v>
      </c>
      <c r="P131" s="2" t="s">
        <v>58</v>
      </c>
      <c r="Q131" s="2" t="s">
        <v>60</v>
      </c>
      <c r="R131" s="6">
        <v>0.75763888888888886</v>
      </c>
      <c r="S131" s="2" t="s">
        <v>61</v>
      </c>
      <c r="T131" s="2" t="s">
        <v>62</v>
      </c>
    </row>
    <row r="132" spans="1:20" ht="22.8" customHeight="1" x14ac:dyDescent="0.3">
      <c r="A132" s="2" t="s">
        <v>658</v>
      </c>
      <c r="B132" s="2" t="s">
        <v>167</v>
      </c>
      <c r="C132" s="2" t="s">
        <v>168</v>
      </c>
      <c r="D132" s="3">
        <v>46177.453761574077</v>
      </c>
      <c r="E132" s="3">
        <v>46178.378229166665</v>
      </c>
      <c r="F132" s="2" t="s">
        <v>275</v>
      </c>
      <c r="G132" s="2">
        <v>3</v>
      </c>
      <c r="H132" s="4" t="s">
        <v>659</v>
      </c>
      <c r="I132" s="2"/>
      <c r="J132" s="2"/>
      <c r="K132" s="2" t="s">
        <v>55</v>
      </c>
      <c r="L132" s="2" t="s">
        <v>126</v>
      </c>
      <c r="M132" s="2" t="s">
        <v>126</v>
      </c>
      <c r="N132" s="2" t="s">
        <v>126</v>
      </c>
      <c r="O132" s="2" t="s">
        <v>225</v>
      </c>
      <c r="P132" s="2" t="s">
        <v>126</v>
      </c>
      <c r="Q132" s="2" t="s">
        <v>60</v>
      </c>
      <c r="R132" s="6">
        <v>0</v>
      </c>
      <c r="S132" s="2" t="s">
        <v>61</v>
      </c>
      <c r="T132" s="2" t="s">
        <v>276</v>
      </c>
    </row>
    <row r="133" spans="1:20" ht="22.8" customHeight="1" x14ac:dyDescent="0.3">
      <c r="A133" s="2" t="s">
        <v>660</v>
      </c>
      <c r="B133" s="2" t="s">
        <v>661</v>
      </c>
      <c r="C133" s="2" t="s">
        <v>662</v>
      </c>
      <c r="D133" s="3">
        <v>46177.463043981479</v>
      </c>
      <c r="E133" s="3">
        <v>46178.540706018517</v>
      </c>
      <c r="F133" s="2" t="s">
        <v>97</v>
      </c>
      <c r="G133" s="2">
        <v>2</v>
      </c>
      <c r="H133" s="2" t="s">
        <v>663</v>
      </c>
      <c r="I133" s="2"/>
      <c r="J133" s="2"/>
      <c r="K133" s="2" t="s">
        <v>76</v>
      </c>
      <c r="L133" s="2" t="s">
        <v>105</v>
      </c>
      <c r="M133" s="2"/>
      <c r="N133" s="2" t="s">
        <v>98</v>
      </c>
      <c r="O133" s="2" t="s">
        <v>664</v>
      </c>
      <c r="P133" s="2" t="s">
        <v>105</v>
      </c>
      <c r="Q133" s="2" t="s">
        <v>60</v>
      </c>
      <c r="R133" s="6">
        <v>0.51527777777777772</v>
      </c>
      <c r="S133" s="2" t="s">
        <v>61</v>
      </c>
      <c r="T133" s="2" t="s">
        <v>62</v>
      </c>
    </row>
    <row r="134" spans="1:20" ht="22.8" customHeight="1" x14ac:dyDescent="0.3">
      <c r="A134" s="2" t="s">
        <v>665</v>
      </c>
      <c r="B134" s="2" t="s">
        <v>273</v>
      </c>
      <c r="C134" s="2" t="s">
        <v>274</v>
      </c>
      <c r="D134" s="3">
        <v>46177.478761574072</v>
      </c>
      <c r="E134" s="3">
        <v>46178.690335648149</v>
      </c>
      <c r="F134" s="2" t="s">
        <v>77</v>
      </c>
      <c r="G134" s="2">
        <v>2</v>
      </c>
      <c r="H134" s="2" t="s">
        <v>666</v>
      </c>
      <c r="I134" s="4" t="s">
        <v>667</v>
      </c>
      <c r="J134" s="2"/>
      <c r="K134" s="2" t="s">
        <v>67</v>
      </c>
      <c r="L134" s="2" t="s">
        <v>78</v>
      </c>
      <c r="M134" s="2"/>
      <c r="N134" s="2" t="s">
        <v>79</v>
      </c>
      <c r="O134" s="2" t="s">
        <v>80</v>
      </c>
      <c r="P134" s="2" t="s">
        <v>78</v>
      </c>
      <c r="Q134" s="2" t="s">
        <v>60</v>
      </c>
      <c r="R134" s="6">
        <v>0.64930555555555558</v>
      </c>
      <c r="S134" s="2" t="s">
        <v>61</v>
      </c>
      <c r="T134" s="2" t="s">
        <v>62</v>
      </c>
    </row>
    <row r="135" spans="1:20" ht="22.8" customHeight="1" x14ac:dyDescent="0.3">
      <c r="A135" s="2" t="s">
        <v>668</v>
      </c>
      <c r="B135" s="2" t="s">
        <v>669</v>
      </c>
      <c r="C135" s="2" t="s">
        <v>670</v>
      </c>
      <c r="D135" s="3">
        <v>46177.658518518518</v>
      </c>
      <c r="E135" s="3">
        <v>46182.370833333334</v>
      </c>
      <c r="F135" s="2" t="s">
        <v>77</v>
      </c>
      <c r="G135" s="2">
        <v>3</v>
      </c>
      <c r="H135" s="2" t="s">
        <v>671</v>
      </c>
      <c r="I135" s="4" t="s">
        <v>672</v>
      </c>
      <c r="J135" s="2"/>
      <c r="K135" s="2" t="s">
        <v>55</v>
      </c>
      <c r="L135" s="2" t="s">
        <v>81</v>
      </c>
      <c r="M135" s="2"/>
      <c r="N135" s="2" t="s">
        <v>78</v>
      </c>
      <c r="O135" s="2" t="s">
        <v>94</v>
      </c>
      <c r="P135" s="2" t="s">
        <v>81</v>
      </c>
      <c r="Q135" s="2" t="s">
        <v>60</v>
      </c>
      <c r="R135" s="5">
        <v>1.0249999999999999</v>
      </c>
      <c r="S135" s="2" t="s">
        <v>61</v>
      </c>
      <c r="T135" s="2" t="s">
        <v>62</v>
      </c>
    </row>
    <row r="136" spans="1:20" ht="22.8" customHeight="1" x14ac:dyDescent="0.3">
      <c r="A136" s="2" t="s">
        <v>673</v>
      </c>
      <c r="B136" s="2" t="s">
        <v>381</v>
      </c>
      <c r="C136" s="2" t="s">
        <v>382</v>
      </c>
      <c r="D136" s="3">
        <v>46177.702430555553</v>
      </c>
      <c r="E136" s="3">
        <v>46183.419328703705</v>
      </c>
      <c r="F136" s="2" t="s">
        <v>97</v>
      </c>
      <c r="G136" s="2">
        <v>3</v>
      </c>
      <c r="H136" s="2" t="s">
        <v>674</v>
      </c>
      <c r="I136" s="4" t="s">
        <v>675</v>
      </c>
      <c r="J136" s="2"/>
      <c r="K136" s="2" t="s">
        <v>76</v>
      </c>
      <c r="L136" s="2" t="s">
        <v>105</v>
      </c>
      <c r="M136" s="2"/>
      <c r="N136" s="2" t="s">
        <v>98</v>
      </c>
      <c r="O136" s="2" t="s">
        <v>106</v>
      </c>
      <c r="P136" s="2" t="s">
        <v>105</v>
      </c>
      <c r="Q136" s="2" t="s">
        <v>60</v>
      </c>
      <c r="R136" s="5">
        <v>1.4673611111111111</v>
      </c>
      <c r="S136" s="2" t="s">
        <v>61</v>
      </c>
      <c r="T136" s="2" t="s">
        <v>62</v>
      </c>
    </row>
    <row r="137" spans="1:20" ht="22.8" customHeight="1" x14ac:dyDescent="0.3">
      <c r="A137" s="2" t="s">
        <v>676</v>
      </c>
      <c r="B137" s="2" t="s">
        <v>381</v>
      </c>
      <c r="C137" s="2" t="s">
        <v>382</v>
      </c>
      <c r="D137" s="3">
        <v>46177.706828703704</v>
      </c>
      <c r="E137" s="3">
        <v>46183.419178240743</v>
      </c>
      <c r="F137" s="2" t="s">
        <v>97</v>
      </c>
      <c r="G137" s="2">
        <v>3</v>
      </c>
      <c r="H137" s="2" t="s">
        <v>677</v>
      </c>
      <c r="I137" s="4" t="s">
        <v>678</v>
      </c>
      <c r="J137" s="2"/>
      <c r="K137" s="2" t="s">
        <v>76</v>
      </c>
      <c r="L137" s="2" t="s">
        <v>105</v>
      </c>
      <c r="M137" s="2"/>
      <c r="N137" s="2" t="s">
        <v>98</v>
      </c>
      <c r="O137" s="2" t="s">
        <v>106</v>
      </c>
      <c r="P137" s="2" t="s">
        <v>105</v>
      </c>
      <c r="Q137" s="2" t="s">
        <v>60</v>
      </c>
      <c r="R137" s="5">
        <v>1.4624999999999999</v>
      </c>
      <c r="S137" s="2" t="s">
        <v>61</v>
      </c>
      <c r="T137" s="2" t="s">
        <v>62</v>
      </c>
    </row>
    <row r="138" spans="1:20" ht="22.8" customHeight="1" x14ac:dyDescent="0.3">
      <c r="A138" s="2" t="s">
        <v>679</v>
      </c>
      <c r="B138" s="2" t="s">
        <v>680</v>
      </c>
      <c r="C138" s="2" t="s">
        <v>681</v>
      </c>
      <c r="D138" s="3">
        <v>46178.368576388886</v>
      </c>
      <c r="E138" s="3">
        <v>46184.653981481482</v>
      </c>
      <c r="F138" s="2" t="s">
        <v>88</v>
      </c>
      <c r="G138" s="2">
        <v>3</v>
      </c>
      <c r="H138" s="2" t="s">
        <v>682</v>
      </c>
      <c r="I138" s="4" t="s">
        <v>683</v>
      </c>
      <c r="J138" s="2"/>
      <c r="K138" s="2" t="s">
        <v>76</v>
      </c>
      <c r="L138" s="2" t="s">
        <v>81</v>
      </c>
      <c r="M138" s="2"/>
      <c r="N138" s="2" t="s">
        <v>81</v>
      </c>
      <c r="O138" s="2" t="s">
        <v>89</v>
      </c>
      <c r="P138" s="2" t="s">
        <v>81</v>
      </c>
      <c r="Q138" s="2" t="s">
        <v>60</v>
      </c>
      <c r="R138" s="5">
        <v>2.0354166666666669</v>
      </c>
      <c r="S138" s="2" t="s">
        <v>61</v>
      </c>
      <c r="T138" s="2" t="s">
        <v>62</v>
      </c>
    </row>
    <row r="139" spans="1:20" ht="22.8" customHeight="1" x14ac:dyDescent="0.3">
      <c r="A139" s="2" t="s">
        <v>690</v>
      </c>
      <c r="B139" s="2" t="s">
        <v>691</v>
      </c>
      <c r="C139" s="2" t="s">
        <v>692</v>
      </c>
      <c r="D139" s="3">
        <v>46178.427372685182</v>
      </c>
      <c r="E139" s="3">
        <v>46192.66684027778</v>
      </c>
      <c r="F139" s="2" t="s">
        <v>77</v>
      </c>
      <c r="G139" s="2">
        <v>3</v>
      </c>
      <c r="H139" s="2" t="s">
        <v>693</v>
      </c>
      <c r="I139" s="4" t="s">
        <v>694</v>
      </c>
      <c r="J139" s="2"/>
      <c r="K139" s="2" t="s">
        <v>76</v>
      </c>
      <c r="L139" s="2" t="s">
        <v>81</v>
      </c>
      <c r="M139" s="2"/>
      <c r="N139" s="2" t="s">
        <v>81</v>
      </c>
      <c r="O139" s="2" t="s">
        <v>90</v>
      </c>
      <c r="P139" s="2" t="s">
        <v>81</v>
      </c>
      <c r="Q139" s="2" t="s">
        <v>60</v>
      </c>
      <c r="R139" s="5">
        <v>4.614583333333333</v>
      </c>
      <c r="S139" s="2" t="s">
        <v>61</v>
      </c>
      <c r="T139" s="2" t="s">
        <v>62</v>
      </c>
    </row>
    <row r="140" spans="1:20" ht="22.8" customHeight="1" x14ac:dyDescent="0.3">
      <c r="A140" s="2" t="s">
        <v>695</v>
      </c>
      <c r="B140" s="2" t="s">
        <v>269</v>
      </c>
      <c r="C140" s="2" t="s">
        <v>270</v>
      </c>
      <c r="D140" s="3">
        <v>46178.469652777778</v>
      </c>
      <c r="E140" s="3">
        <v>46182.370115740741</v>
      </c>
      <c r="F140" s="2" t="s">
        <v>99</v>
      </c>
      <c r="G140" s="2">
        <v>2</v>
      </c>
      <c r="H140" s="2" t="s">
        <v>696</v>
      </c>
      <c r="I140" s="4" t="s">
        <v>697</v>
      </c>
      <c r="J140" s="2"/>
      <c r="K140" s="2" t="s">
        <v>55</v>
      </c>
      <c r="L140" s="2" t="s">
        <v>81</v>
      </c>
      <c r="M140" s="2"/>
      <c r="N140" s="2" t="s">
        <v>78</v>
      </c>
      <c r="O140" s="2" t="s">
        <v>94</v>
      </c>
      <c r="P140" s="2" t="s">
        <v>81</v>
      </c>
      <c r="Q140" s="2" t="s">
        <v>60</v>
      </c>
      <c r="R140" s="6">
        <v>0.77569444444444446</v>
      </c>
      <c r="S140" s="2" t="s">
        <v>61</v>
      </c>
      <c r="T140" s="2" t="s">
        <v>62</v>
      </c>
    </row>
    <row r="141" spans="1:20" ht="22.8" customHeight="1" x14ac:dyDescent="0.3">
      <c r="A141" s="2" t="s">
        <v>698</v>
      </c>
      <c r="B141" s="2" t="s">
        <v>237</v>
      </c>
      <c r="C141" s="2" t="s">
        <v>238</v>
      </c>
      <c r="D141" s="3">
        <v>46178.471053240741</v>
      </c>
      <c r="E141" s="3">
        <v>46197.41101851852</v>
      </c>
      <c r="F141" s="2" t="s">
        <v>123</v>
      </c>
      <c r="G141" s="2">
        <v>3</v>
      </c>
      <c r="H141" s="2" t="s">
        <v>699</v>
      </c>
      <c r="I141" s="4" t="s">
        <v>700</v>
      </c>
      <c r="J141" s="2"/>
      <c r="K141" s="2" t="s">
        <v>55</v>
      </c>
      <c r="L141" s="2" t="s">
        <v>81</v>
      </c>
      <c r="M141" s="2"/>
      <c r="N141" s="2" t="s">
        <v>78</v>
      </c>
      <c r="O141" s="2" t="s">
        <v>94</v>
      </c>
      <c r="P141" s="2" t="s">
        <v>81</v>
      </c>
      <c r="Q141" s="2" t="s">
        <v>60</v>
      </c>
      <c r="R141" s="5">
        <v>5.6277777777777782</v>
      </c>
      <c r="S141" s="2" t="s">
        <v>61</v>
      </c>
      <c r="T141" s="2" t="s">
        <v>62</v>
      </c>
    </row>
    <row r="142" spans="1:20" ht="22.8" customHeight="1" x14ac:dyDescent="0.3">
      <c r="A142" s="2" t="s">
        <v>701</v>
      </c>
      <c r="B142" s="2" t="s">
        <v>702</v>
      </c>
      <c r="C142" s="2" t="s">
        <v>703</v>
      </c>
      <c r="D142" s="3">
        <v>46178.562615740739</v>
      </c>
      <c r="E142" s="3">
        <v>46191.663958333331</v>
      </c>
      <c r="F142" s="2" t="s">
        <v>77</v>
      </c>
      <c r="G142" s="2">
        <v>3</v>
      </c>
      <c r="H142" s="2" t="s">
        <v>704</v>
      </c>
      <c r="I142" s="4" t="s">
        <v>705</v>
      </c>
      <c r="J142" s="2"/>
      <c r="K142" s="2" t="s">
        <v>55</v>
      </c>
      <c r="L142" s="2" t="s">
        <v>78</v>
      </c>
      <c r="M142" s="2"/>
      <c r="N142" s="2" t="s">
        <v>78</v>
      </c>
      <c r="O142" s="2" t="s">
        <v>94</v>
      </c>
      <c r="P142" s="2" t="s">
        <v>78</v>
      </c>
      <c r="Q142" s="2" t="s">
        <v>60</v>
      </c>
      <c r="R142" s="5">
        <v>4.0388888888888888</v>
      </c>
      <c r="S142" s="2" t="s">
        <v>61</v>
      </c>
      <c r="T142" s="2" t="s">
        <v>62</v>
      </c>
    </row>
    <row r="143" spans="1:20" ht="22.8" customHeight="1" x14ac:dyDescent="0.3">
      <c r="A143" s="2" t="s">
        <v>706</v>
      </c>
      <c r="B143" s="2" t="s">
        <v>707</v>
      </c>
      <c r="C143" s="2" t="s">
        <v>708</v>
      </c>
      <c r="D143" s="3">
        <v>46178.5937037037</v>
      </c>
      <c r="E143" s="3">
        <v>46178.620451388888</v>
      </c>
      <c r="F143" s="2" t="s">
        <v>73</v>
      </c>
      <c r="G143" s="2">
        <v>2</v>
      </c>
      <c r="H143" s="2" t="s">
        <v>709</v>
      </c>
      <c r="I143" s="4" t="s">
        <v>710</v>
      </c>
      <c r="J143" s="2"/>
      <c r="K143" s="2" t="s">
        <v>76</v>
      </c>
      <c r="L143" s="2" t="s">
        <v>58</v>
      </c>
      <c r="M143" s="2"/>
      <c r="N143" s="2" t="s">
        <v>58</v>
      </c>
      <c r="O143" s="2" t="s">
        <v>59</v>
      </c>
      <c r="P143" s="2" t="s">
        <v>58</v>
      </c>
      <c r="Q143" s="2" t="s">
        <v>60</v>
      </c>
      <c r="R143" s="6">
        <v>2.7083333333333334E-2</v>
      </c>
      <c r="S143" s="2" t="s">
        <v>61</v>
      </c>
      <c r="T143" s="2" t="s">
        <v>62</v>
      </c>
    </row>
    <row r="144" spans="1:20" ht="22.8" customHeight="1" x14ac:dyDescent="0.3">
      <c r="A144" s="2" t="s">
        <v>711</v>
      </c>
      <c r="B144" s="2" t="s">
        <v>712</v>
      </c>
      <c r="C144" s="2" t="s">
        <v>713</v>
      </c>
      <c r="D144" s="3">
        <v>46178.615937499999</v>
      </c>
      <c r="E144" s="3">
        <v>46198.415925925925</v>
      </c>
      <c r="F144" s="2" t="s">
        <v>77</v>
      </c>
      <c r="G144" s="2">
        <v>3</v>
      </c>
      <c r="H144" s="2" t="s">
        <v>714</v>
      </c>
      <c r="I144" s="4" t="s">
        <v>715</v>
      </c>
      <c r="J144" s="2"/>
      <c r="K144" s="2" t="s">
        <v>55</v>
      </c>
      <c r="L144" s="2" t="s">
        <v>81</v>
      </c>
      <c r="M144" s="2"/>
      <c r="N144" s="2" t="s">
        <v>78</v>
      </c>
      <c r="O144" s="2" t="s">
        <v>94</v>
      </c>
      <c r="P144" s="2" t="s">
        <v>81</v>
      </c>
      <c r="Q144" s="2" t="s">
        <v>60</v>
      </c>
      <c r="R144" s="5">
        <v>5.9249999999999998</v>
      </c>
      <c r="S144" s="2" t="s">
        <v>61</v>
      </c>
      <c r="T144" s="2" t="s">
        <v>62</v>
      </c>
    </row>
    <row r="145" spans="1:20" ht="22.8" customHeight="1" x14ac:dyDescent="0.3">
      <c r="A145" s="2" t="s">
        <v>716</v>
      </c>
      <c r="B145" s="2" t="s">
        <v>80</v>
      </c>
      <c r="C145" s="2" t="s">
        <v>655</v>
      </c>
      <c r="D145" s="3">
        <v>46178.632847222223</v>
      </c>
      <c r="E145" s="3">
        <v>46188.455034722225</v>
      </c>
      <c r="F145" s="2" t="s">
        <v>97</v>
      </c>
      <c r="G145" s="2">
        <v>2</v>
      </c>
      <c r="H145" s="2" t="s">
        <v>717</v>
      </c>
      <c r="I145" s="2"/>
      <c r="J145" s="2"/>
      <c r="K145" s="2" t="s">
        <v>67</v>
      </c>
      <c r="L145" s="2" t="s">
        <v>105</v>
      </c>
      <c r="M145" s="2"/>
      <c r="N145" s="2" t="s">
        <v>98</v>
      </c>
      <c r="O145" s="2" t="s">
        <v>664</v>
      </c>
      <c r="P145" s="2" t="s">
        <v>105</v>
      </c>
      <c r="Q145" s="2" t="s">
        <v>60</v>
      </c>
      <c r="R145" s="5">
        <v>2.4472222222222224</v>
      </c>
      <c r="S145" s="2" t="s">
        <v>61</v>
      </c>
      <c r="T145" s="2" t="s">
        <v>62</v>
      </c>
    </row>
    <row r="146" spans="1:20" ht="22.8" customHeight="1" x14ac:dyDescent="0.3">
      <c r="A146" s="2" t="s">
        <v>718</v>
      </c>
      <c r="B146" s="2" t="s">
        <v>661</v>
      </c>
      <c r="C146" s="2" t="s">
        <v>662</v>
      </c>
      <c r="D146" s="3">
        <v>46178.651550925926</v>
      </c>
      <c r="E146" s="3">
        <v>46184.421481481484</v>
      </c>
      <c r="F146" s="2" t="s">
        <v>97</v>
      </c>
      <c r="G146" s="2">
        <v>2</v>
      </c>
      <c r="H146" s="2" t="s">
        <v>719</v>
      </c>
      <c r="I146" s="2"/>
      <c r="J146" s="2"/>
      <c r="K146" s="2" t="s">
        <v>76</v>
      </c>
      <c r="L146" s="2" t="s">
        <v>105</v>
      </c>
      <c r="M146" s="2"/>
      <c r="N146" s="2" t="s">
        <v>98</v>
      </c>
      <c r="O146" s="2" t="s">
        <v>106</v>
      </c>
      <c r="P146" s="2" t="s">
        <v>105</v>
      </c>
      <c r="Q146" s="2" t="s">
        <v>60</v>
      </c>
      <c r="R146" s="5">
        <v>1.5201388888888889</v>
      </c>
      <c r="S146" s="2" t="s">
        <v>61</v>
      </c>
      <c r="T146" s="2" t="s">
        <v>62</v>
      </c>
    </row>
    <row r="147" spans="1:20" ht="22.8" customHeight="1" x14ac:dyDescent="0.3">
      <c r="A147" s="2" t="s">
        <v>720</v>
      </c>
      <c r="B147" s="2" t="s">
        <v>255</v>
      </c>
      <c r="C147" s="2" t="s">
        <v>256</v>
      </c>
      <c r="D147" s="3">
        <v>46178.70107638889</v>
      </c>
      <c r="E147" s="3">
        <v>46185.411712962959</v>
      </c>
      <c r="F147" s="2" t="s">
        <v>97</v>
      </c>
      <c r="G147" s="2">
        <v>2</v>
      </c>
      <c r="H147" s="2" t="s">
        <v>721</v>
      </c>
      <c r="I147" s="2"/>
      <c r="J147" s="2"/>
      <c r="K147" s="2" t="s">
        <v>55</v>
      </c>
      <c r="L147" s="2" t="s">
        <v>105</v>
      </c>
      <c r="M147" s="2"/>
      <c r="N147" s="2" t="s">
        <v>98</v>
      </c>
      <c r="O147" s="2" t="s">
        <v>106</v>
      </c>
      <c r="P147" s="2" t="s">
        <v>105</v>
      </c>
      <c r="Q147" s="2" t="s">
        <v>60</v>
      </c>
      <c r="R147" s="5">
        <v>1.898611111111111</v>
      </c>
      <c r="S147" s="2" t="s">
        <v>61</v>
      </c>
      <c r="T147" s="2" t="s">
        <v>62</v>
      </c>
    </row>
    <row r="148" spans="1:20" ht="22.8" customHeight="1" x14ac:dyDescent="0.3">
      <c r="A148" s="2" t="s">
        <v>722</v>
      </c>
      <c r="B148" s="2" t="s">
        <v>723</v>
      </c>
      <c r="C148" s="2" t="s">
        <v>724</v>
      </c>
      <c r="D148" s="3">
        <v>46178.7266087963</v>
      </c>
      <c r="E148" s="3">
        <v>46181.431307870371</v>
      </c>
      <c r="F148" s="2" t="s">
        <v>226</v>
      </c>
      <c r="G148" s="2">
        <v>3</v>
      </c>
      <c r="H148" s="2" t="s">
        <v>725</v>
      </c>
      <c r="I148" s="4" t="s">
        <v>726</v>
      </c>
      <c r="J148" s="2"/>
      <c r="K148" s="2" t="s">
        <v>55</v>
      </c>
      <c r="L148" s="2" t="s">
        <v>58</v>
      </c>
      <c r="M148" s="2"/>
      <c r="N148" s="2" t="s">
        <v>58</v>
      </c>
      <c r="O148" s="2" t="s">
        <v>59</v>
      </c>
      <c r="P148" s="2" t="s">
        <v>58</v>
      </c>
      <c r="Q148" s="2" t="s">
        <v>60</v>
      </c>
      <c r="R148" s="5">
        <v>2.7048611111111112</v>
      </c>
      <c r="S148" s="2" t="s">
        <v>61</v>
      </c>
      <c r="T148" s="2" t="s">
        <v>62</v>
      </c>
    </row>
    <row r="149" spans="1:20" ht="22.8" customHeight="1" x14ac:dyDescent="0.3">
      <c r="A149" s="2" t="s">
        <v>732</v>
      </c>
      <c r="B149" s="2" t="s">
        <v>733</v>
      </c>
      <c r="C149" s="2" t="s">
        <v>734</v>
      </c>
      <c r="D149" s="3">
        <v>46181.423402777778</v>
      </c>
      <c r="E149" s="3">
        <v>46202.45239583333</v>
      </c>
      <c r="F149" s="2" t="s">
        <v>99</v>
      </c>
      <c r="G149" s="2">
        <v>2</v>
      </c>
      <c r="H149" s="2" t="s">
        <v>735</v>
      </c>
      <c r="I149" s="4" t="s">
        <v>736</v>
      </c>
      <c r="J149" s="2"/>
      <c r="K149" s="2" t="s">
        <v>55</v>
      </c>
      <c r="L149" s="2" t="s">
        <v>78</v>
      </c>
      <c r="M149" s="2"/>
      <c r="N149" s="2" t="s">
        <v>78</v>
      </c>
      <c r="O149" s="2" t="s">
        <v>103</v>
      </c>
      <c r="P149" s="2" t="s">
        <v>78</v>
      </c>
      <c r="Q149" s="2" t="s">
        <v>60</v>
      </c>
      <c r="R149" s="5">
        <v>6.5916666666666668</v>
      </c>
      <c r="S149" s="2" t="s">
        <v>108</v>
      </c>
      <c r="T149" s="2" t="s">
        <v>62</v>
      </c>
    </row>
    <row r="150" spans="1:20" ht="22.8" customHeight="1" x14ac:dyDescent="0.3">
      <c r="A150" s="2" t="s">
        <v>737</v>
      </c>
      <c r="B150" s="2" t="s">
        <v>738</v>
      </c>
      <c r="C150" s="2" t="s">
        <v>739</v>
      </c>
      <c r="D150" s="3">
        <v>46181.438807870371</v>
      </c>
      <c r="E150" s="3">
        <v>46182.495555555557</v>
      </c>
      <c r="F150" s="2" t="s">
        <v>56</v>
      </c>
      <c r="G150" s="2">
        <v>3</v>
      </c>
      <c r="H150" s="2" t="s">
        <v>57</v>
      </c>
      <c r="I150" s="4" t="s">
        <v>740</v>
      </c>
      <c r="J150" s="2"/>
      <c r="K150" s="2" t="s">
        <v>76</v>
      </c>
      <c r="L150" s="2" t="s">
        <v>58</v>
      </c>
      <c r="M150" s="2"/>
      <c r="N150" s="2" t="s">
        <v>58</v>
      </c>
      <c r="O150" s="2" t="s">
        <v>59</v>
      </c>
      <c r="P150" s="2" t="s">
        <v>58</v>
      </c>
      <c r="Q150" s="2" t="s">
        <v>60</v>
      </c>
      <c r="R150" s="6">
        <v>0.49444444444444446</v>
      </c>
      <c r="S150" s="2" t="s">
        <v>61</v>
      </c>
      <c r="T150" s="2" t="s">
        <v>62</v>
      </c>
    </row>
    <row r="151" spans="1:20" ht="22.8" customHeight="1" x14ac:dyDescent="0.3">
      <c r="A151" s="2" t="s">
        <v>741</v>
      </c>
      <c r="B151" s="2" t="s">
        <v>738</v>
      </c>
      <c r="C151" s="2" t="s">
        <v>739</v>
      </c>
      <c r="D151" s="3">
        <v>46181.43917824074</v>
      </c>
      <c r="E151" s="3">
        <v>46182.427060185182</v>
      </c>
      <c r="F151" s="2" t="s">
        <v>63</v>
      </c>
      <c r="G151" s="2">
        <v>3</v>
      </c>
      <c r="H151" s="2" t="s">
        <v>742</v>
      </c>
      <c r="I151" s="4" t="s">
        <v>389</v>
      </c>
      <c r="J151" s="2"/>
      <c r="K151" s="2" t="s">
        <v>76</v>
      </c>
      <c r="L151" s="2" t="s">
        <v>58</v>
      </c>
      <c r="M151" s="2"/>
      <c r="N151" s="2" t="s">
        <v>58</v>
      </c>
      <c r="O151" s="2" t="s">
        <v>74</v>
      </c>
      <c r="P151" s="2" t="s">
        <v>58</v>
      </c>
      <c r="Q151" s="2" t="s">
        <v>60</v>
      </c>
      <c r="R151" s="6">
        <v>0.4465277777777778</v>
      </c>
      <c r="S151" s="2" t="s">
        <v>61</v>
      </c>
      <c r="T151" s="2" t="s">
        <v>62</v>
      </c>
    </row>
    <row r="152" spans="1:20" ht="22.8" customHeight="1" x14ac:dyDescent="0.3">
      <c r="A152" s="2" t="s">
        <v>743</v>
      </c>
      <c r="B152" s="2" t="s">
        <v>419</v>
      </c>
      <c r="C152" s="2" t="s">
        <v>420</v>
      </c>
      <c r="D152" s="3">
        <v>46181.472025462965</v>
      </c>
      <c r="E152" s="3">
        <v>46196.430405092593</v>
      </c>
      <c r="F152" s="2" t="s">
        <v>99</v>
      </c>
      <c r="G152" s="2">
        <v>2</v>
      </c>
      <c r="H152" s="2" t="s">
        <v>744</v>
      </c>
      <c r="I152" s="4" t="s">
        <v>745</v>
      </c>
      <c r="J152" s="2"/>
      <c r="K152" s="2" t="s">
        <v>55</v>
      </c>
      <c r="L152" s="2" t="s">
        <v>78</v>
      </c>
      <c r="M152" s="2"/>
      <c r="N152" s="2" t="s">
        <v>78</v>
      </c>
      <c r="O152" s="2" t="s">
        <v>103</v>
      </c>
      <c r="P152" s="2" t="s">
        <v>78</v>
      </c>
      <c r="Q152" s="2" t="s">
        <v>60</v>
      </c>
      <c r="R152" s="5">
        <v>4.771527777777778</v>
      </c>
      <c r="S152" s="2" t="s">
        <v>61</v>
      </c>
      <c r="T152" s="2" t="s">
        <v>62</v>
      </c>
    </row>
    <row r="153" spans="1:20" ht="22.8" customHeight="1" x14ac:dyDescent="0.3">
      <c r="A153" s="2" t="s">
        <v>746</v>
      </c>
      <c r="B153" s="2" t="s">
        <v>747</v>
      </c>
      <c r="C153" s="2" t="s">
        <v>748</v>
      </c>
      <c r="D153" s="3">
        <v>46181.528229166666</v>
      </c>
      <c r="E153" s="3">
        <v>46181.711840277778</v>
      </c>
      <c r="F153" s="2" t="s">
        <v>77</v>
      </c>
      <c r="G153" s="2">
        <v>3</v>
      </c>
      <c r="H153" s="2" t="s">
        <v>749</v>
      </c>
      <c r="I153" s="4" t="s">
        <v>750</v>
      </c>
      <c r="J153" s="2"/>
      <c r="K153" s="2" t="s">
        <v>67</v>
      </c>
      <c r="L153" s="2" t="s">
        <v>78</v>
      </c>
      <c r="M153" s="2"/>
      <c r="N153" s="2" t="s">
        <v>79</v>
      </c>
      <c r="O153" s="2" t="s">
        <v>80</v>
      </c>
      <c r="P153" s="2" t="s">
        <v>78</v>
      </c>
      <c r="Q153" s="2" t="s">
        <v>60</v>
      </c>
      <c r="R153" s="6">
        <v>0.18402777777777779</v>
      </c>
      <c r="S153" s="2" t="s">
        <v>61</v>
      </c>
      <c r="T153" s="2" t="s">
        <v>62</v>
      </c>
    </row>
    <row r="154" spans="1:20" ht="22.8" customHeight="1" x14ac:dyDescent="0.3">
      <c r="A154" s="2" t="s">
        <v>751</v>
      </c>
      <c r="B154" s="2" t="s">
        <v>68</v>
      </c>
      <c r="C154" s="2" t="s">
        <v>69</v>
      </c>
      <c r="D154" s="3">
        <v>46181.591782407406</v>
      </c>
      <c r="E154" s="3">
        <v>46182.4059375</v>
      </c>
      <c r="F154" s="2" t="s">
        <v>100</v>
      </c>
      <c r="G154" s="2">
        <v>2</v>
      </c>
      <c r="H154" s="4" t="s">
        <v>752</v>
      </c>
      <c r="I154" s="4" t="s">
        <v>753</v>
      </c>
      <c r="J154" s="2"/>
      <c r="K154" s="2" t="s">
        <v>55</v>
      </c>
      <c r="L154" s="2" t="s">
        <v>71</v>
      </c>
      <c r="M154" s="2"/>
      <c r="N154" s="2" t="s">
        <v>146</v>
      </c>
      <c r="O154" s="2" t="s">
        <v>147</v>
      </c>
      <c r="P154" s="2" t="s">
        <v>71</v>
      </c>
      <c r="Q154" s="2" t="s">
        <v>60</v>
      </c>
      <c r="R154" s="6">
        <v>0.25208333333333333</v>
      </c>
      <c r="S154" s="2" t="s">
        <v>61</v>
      </c>
      <c r="T154" s="2" t="s">
        <v>189</v>
      </c>
    </row>
    <row r="155" spans="1:20" ht="22.8" customHeight="1" x14ac:dyDescent="0.3">
      <c r="A155" s="2" t="s">
        <v>754</v>
      </c>
      <c r="B155" s="2" t="s">
        <v>755</v>
      </c>
      <c r="C155" s="2" t="s">
        <v>756</v>
      </c>
      <c r="D155" s="3">
        <v>46181.610300925924</v>
      </c>
      <c r="E155" s="3">
        <v>46185.443645833337</v>
      </c>
      <c r="F155" s="2" t="s">
        <v>77</v>
      </c>
      <c r="G155" s="2">
        <v>2</v>
      </c>
      <c r="H155" s="2" t="s">
        <v>757</v>
      </c>
      <c r="I155" s="4" t="s">
        <v>758</v>
      </c>
      <c r="J155" s="2"/>
      <c r="K155" s="2" t="s">
        <v>55</v>
      </c>
      <c r="L155" s="2" t="s">
        <v>81</v>
      </c>
      <c r="M155" s="2"/>
      <c r="N155" s="2" t="s">
        <v>78</v>
      </c>
      <c r="O155" s="2" t="s">
        <v>94</v>
      </c>
      <c r="P155" s="2" t="s">
        <v>81</v>
      </c>
      <c r="Q155" s="2" t="s">
        <v>60</v>
      </c>
      <c r="R155" s="6">
        <v>0.98055555555555551</v>
      </c>
      <c r="S155" s="2" t="s">
        <v>61</v>
      </c>
      <c r="T155" s="2" t="s">
        <v>62</v>
      </c>
    </row>
    <row r="156" spans="1:20" ht="22.8" customHeight="1" x14ac:dyDescent="0.3">
      <c r="A156" s="2" t="s">
        <v>759</v>
      </c>
      <c r="B156" s="2" t="s">
        <v>404</v>
      </c>
      <c r="C156" s="2" t="s">
        <v>405</v>
      </c>
      <c r="D156" s="3">
        <v>46181.729502314818</v>
      </c>
      <c r="E156" s="3">
        <v>46183.697372685187</v>
      </c>
      <c r="F156" s="2" t="s">
        <v>100</v>
      </c>
      <c r="G156" s="2">
        <v>3</v>
      </c>
      <c r="H156" s="4" t="s">
        <v>760</v>
      </c>
      <c r="I156" s="2"/>
      <c r="J156" s="2"/>
      <c r="K156" s="2" t="s">
        <v>55</v>
      </c>
      <c r="L156" s="2" t="s">
        <v>71</v>
      </c>
      <c r="M156" s="2"/>
      <c r="N156" s="2"/>
      <c r="O156" s="2" t="s">
        <v>404</v>
      </c>
      <c r="P156" s="2" t="s">
        <v>71</v>
      </c>
      <c r="Q156" s="2" t="s">
        <v>60</v>
      </c>
      <c r="R156" s="6">
        <v>0.84305555555555556</v>
      </c>
      <c r="S156" s="2" t="s">
        <v>61</v>
      </c>
      <c r="T156" s="2" t="s">
        <v>189</v>
      </c>
    </row>
    <row r="157" spans="1:20" ht="22.8" customHeight="1" x14ac:dyDescent="0.3">
      <c r="A157" s="2" t="s">
        <v>761</v>
      </c>
      <c r="B157" s="2" t="s">
        <v>172</v>
      </c>
      <c r="C157" s="2" t="s">
        <v>173</v>
      </c>
      <c r="D157" s="3">
        <v>46181.736527777779</v>
      </c>
      <c r="E157" s="3">
        <v>46182.609803240739</v>
      </c>
      <c r="F157" s="2" t="s">
        <v>97</v>
      </c>
      <c r="G157" s="2">
        <v>2</v>
      </c>
      <c r="H157" s="2" t="s">
        <v>762</v>
      </c>
      <c r="I157" s="4" t="s">
        <v>763</v>
      </c>
      <c r="J157" s="2"/>
      <c r="K157" s="2" t="s">
        <v>55</v>
      </c>
      <c r="L157" s="2" t="s">
        <v>105</v>
      </c>
      <c r="M157" s="2"/>
      <c r="N157" s="2" t="s">
        <v>98</v>
      </c>
      <c r="O157" s="2" t="s">
        <v>171</v>
      </c>
      <c r="P157" s="2" t="s">
        <v>105</v>
      </c>
      <c r="Q157" s="2" t="s">
        <v>60</v>
      </c>
      <c r="R157" s="6">
        <v>0.31111111111111112</v>
      </c>
      <c r="S157" s="2" t="s">
        <v>61</v>
      </c>
      <c r="T157" s="2" t="s">
        <v>62</v>
      </c>
    </row>
    <row r="158" spans="1:20" ht="22.8" customHeight="1" x14ac:dyDescent="0.3">
      <c r="A158" s="2" t="s">
        <v>764</v>
      </c>
      <c r="B158" s="2" t="s">
        <v>255</v>
      </c>
      <c r="C158" s="2" t="s">
        <v>256</v>
      </c>
      <c r="D158" s="3">
        <v>46182.335034722222</v>
      </c>
      <c r="E158" s="3">
        <v>46196.414421296293</v>
      </c>
      <c r="F158" s="2" t="s">
        <v>97</v>
      </c>
      <c r="G158" s="2">
        <v>3</v>
      </c>
      <c r="H158" s="2" t="s">
        <v>765</v>
      </c>
      <c r="I158" s="2"/>
      <c r="J158" s="2"/>
      <c r="K158" s="2" t="s">
        <v>55</v>
      </c>
      <c r="L158" s="2" t="s">
        <v>105</v>
      </c>
      <c r="M158" s="2"/>
      <c r="N158" s="2" t="s">
        <v>98</v>
      </c>
      <c r="O158" s="2" t="s">
        <v>141</v>
      </c>
      <c r="P158" s="2" t="s">
        <v>105</v>
      </c>
      <c r="Q158" s="2" t="s">
        <v>60</v>
      </c>
      <c r="R158" s="5">
        <v>4.4548611111111107</v>
      </c>
      <c r="S158" s="2" t="s">
        <v>61</v>
      </c>
      <c r="T158" s="2" t="s">
        <v>62</v>
      </c>
    </row>
    <row r="159" spans="1:20" ht="22.8" customHeight="1" x14ac:dyDescent="0.3">
      <c r="A159" s="2" t="s">
        <v>766</v>
      </c>
      <c r="B159" s="2" t="s">
        <v>68</v>
      </c>
      <c r="C159" s="2" t="s">
        <v>69</v>
      </c>
      <c r="D159" s="3">
        <v>46182.4059837963</v>
      </c>
      <c r="E159" s="3">
        <v>46184.286666666667</v>
      </c>
      <c r="F159" s="2" t="s">
        <v>275</v>
      </c>
      <c r="G159" s="2">
        <v>3</v>
      </c>
      <c r="H159" s="4" t="s">
        <v>767</v>
      </c>
      <c r="I159" s="2"/>
      <c r="J159" s="2"/>
      <c r="K159" s="2" t="s">
        <v>55</v>
      </c>
      <c r="L159" s="2" t="s">
        <v>126</v>
      </c>
      <c r="M159" s="2" t="s">
        <v>126</v>
      </c>
      <c r="N159" s="2" t="s">
        <v>126</v>
      </c>
      <c r="O159" s="2" t="s">
        <v>225</v>
      </c>
      <c r="P159" s="2" t="s">
        <v>126</v>
      </c>
      <c r="Q159" s="2" t="s">
        <v>60</v>
      </c>
      <c r="R159" s="6">
        <v>0</v>
      </c>
      <c r="S159" s="2" t="s">
        <v>61</v>
      </c>
      <c r="T159" s="2" t="s">
        <v>276</v>
      </c>
    </row>
    <row r="160" spans="1:20" ht="22.8" customHeight="1" x14ac:dyDescent="0.3">
      <c r="A160" s="2" t="s">
        <v>768</v>
      </c>
      <c r="B160" s="2" t="s">
        <v>167</v>
      </c>
      <c r="C160" s="2" t="s">
        <v>168</v>
      </c>
      <c r="D160" s="3">
        <v>46182.408865740741</v>
      </c>
      <c r="E160" s="3">
        <v>46184.286469907405</v>
      </c>
      <c r="F160" s="2" t="s">
        <v>275</v>
      </c>
      <c r="G160" s="2">
        <v>3</v>
      </c>
      <c r="H160" s="4" t="s">
        <v>769</v>
      </c>
      <c r="I160" s="2"/>
      <c r="J160" s="2"/>
      <c r="K160" s="2" t="s">
        <v>55</v>
      </c>
      <c r="L160" s="2" t="s">
        <v>126</v>
      </c>
      <c r="M160" s="2" t="s">
        <v>126</v>
      </c>
      <c r="N160" s="2" t="s">
        <v>126</v>
      </c>
      <c r="O160" s="2" t="s">
        <v>225</v>
      </c>
      <c r="P160" s="2" t="s">
        <v>126</v>
      </c>
      <c r="Q160" s="2" t="s">
        <v>60</v>
      </c>
      <c r="R160" s="6">
        <v>0</v>
      </c>
      <c r="S160" s="2" t="s">
        <v>61</v>
      </c>
      <c r="T160" s="2" t="s">
        <v>276</v>
      </c>
    </row>
    <row r="161" spans="1:20" ht="22.8" customHeight="1" x14ac:dyDescent="0.3">
      <c r="A161" s="2" t="s">
        <v>770</v>
      </c>
      <c r="B161" s="2" t="s">
        <v>771</v>
      </c>
      <c r="C161" s="2" t="s">
        <v>772</v>
      </c>
      <c r="D161" s="3">
        <v>46182.410532407404</v>
      </c>
      <c r="E161" s="3">
        <v>46182.502280092594</v>
      </c>
      <c r="F161" s="2" t="s">
        <v>226</v>
      </c>
      <c r="G161" s="2">
        <v>3</v>
      </c>
      <c r="H161" s="2" t="s">
        <v>773</v>
      </c>
      <c r="I161" s="4" t="s">
        <v>774</v>
      </c>
      <c r="J161" s="2"/>
      <c r="K161" s="2" t="s">
        <v>76</v>
      </c>
      <c r="L161" s="2" t="s">
        <v>58</v>
      </c>
      <c r="M161" s="2"/>
      <c r="N161" s="2" t="s">
        <v>58</v>
      </c>
      <c r="O161" s="2" t="s">
        <v>59</v>
      </c>
      <c r="P161" s="2" t="s">
        <v>58</v>
      </c>
      <c r="Q161" s="2" t="s">
        <v>60</v>
      </c>
      <c r="R161" s="6">
        <v>9.2361111111111116E-2</v>
      </c>
      <c r="S161" s="2" t="s">
        <v>61</v>
      </c>
      <c r="T161" s="2" t="s">
        <v>62</v>
      </c>
    </row>
    <row r="162" spans="1:20" ht="22.8" customHeight="1" x14ac:dyDescent="0.3">
      <c r="A162" s="2" t="s">
        <v>775</v>
      </c>
      <c r="B162" s="2" t="s">
        <v>776</v>
      </c>
      <c r="C162" s="2" t="s">
        <v>777</v>
      </c>
      <c r="D162" s="3">
        <v>46182.414189814815</v>
      </c>
      <c r="E162" s="3">
        <v>46183.634976851848</v>
      </c>
      <c r="F162" s="2" t="s">
        <v>56</v>
      </c>
      <c r="G162" s="2">
        <v>3</v>
      </c>
      <c r="H162" s="2" t="s">
        <v>57</v>
      </c>
      <c r="I162" s="4" t="s">
        <v>192</v>
      </c>
      <c r="J162" s="2"/>
      <c r="K162" s="2" t="s">
        <v>55</v>
      </c>
      <c r="L162" s="2" t="s">
        <v>58</v>
      </c>
      <c r="M162" s="2"/>
      <c r="N162" s="2" t="s">
        <v>58</v>
      </c>
      <c r="O162" s="2" t="s">
        <v>74</v>
      </c>
      <c r="P162" s="2" t="s">
        <v>58</v>
      </c>
      <c r="Q162" s="2" t="s">
        <v>60</v>
      </c>
      <c r="R162" s="6">
        <v>0.65833333333333333</v>
      </c>
      <c r="S162" s="2" t="s">
        <v>61</v>
      </c>
      <c r="T162" s="2" t="s">
        <v>62</v>
      </c>
    </row>
    <row r="163" spans="1:20" ht="22.8" customHeight="1" x14ac:dyDescent="0.3">
      <c r="A163" s="2" t="s">
        <v>778</v>
      </c>
      <c r="B163" s="2" t="s">
        <v>776</v>
      </c>
      <c r="C163" s="2" t="s">
        <v>777</v>
      </c>
      <c r="D163" s="3">
        <v>46182.414398148147</v>
      </c>
      <c r="E163" s="3">
        <v>46183.631168981483</v>
      </c>
      <c r="F163" s="2" t="s">
        <v>63</v>
      </c>
      <c r="G163" s="2">
        <v>3</v>
      </c>
      <c r="H163" s="2" t="s">
        <v>779</v>
      </c>
      <c r="I163" s="4" t="s">
        <v>780</v>
      </c>
      <c r="J163" s="2"/>
      <c r="K163" s="2" t="s">
        <v>55</v>
      </c>
      <c r="L163" s="2" t="s">
        <v>58</v>
      </c>
      <c r="M163" s="2"/>
      <c r="N163" s="2" t="s">
        <v>58</v>
      </c>
      <c r="O163" s="2" t="s">
        <v>74</v>
      </c>
      <c r="P163" s="2" t="s">
        <v>58</v>
      </c>
      <c r="Q163" s="2" t="s">
        <v>60</v>
      </c>
      <c r="R163" s="6">
        <v>0.67569444444444449</v>
      </c>
      <c r="S163" s="2" t="s">
        <v>61</v>
      </c>
      <c r="T163" s="2" t="s">
        <v>62</v>
      </c>
    </row>
    <row r="164" spans="1:20" ht="22.8" customHeight="1" x14ac:dyDescent="0.3">
      <c r="A164" s="2" t="s">
        <v>781</v>
      </c>
      <c r="B164" s="2" t="s">
        <v>80</v>
      </c>
      <c r="C164" s="2" t="s">
        <v>655</v>
      </c>
      <c r="D164" s="3">
        <v>46182.42695601852</v>
      </c>
      <c r="E164" s="3">
        <v>46189.423171296294</v>
      </c>
      <c r="F164" s="2" t="s">
        <v>97</v>
      </c>
      <c r="G164" s="2">
        <v>2</v>
      </c>
      <c r="H164" s="2" t="s">
        <v>782</v>
      </c>
      <c r="I164" s="2"/>
      <c r="J164" s="2"/>
      <c r="K164" s="2" t="s">
        <v>67</v>
      </c>
      <c r="L164" s="2" t="s">
        <v>105</v>
      </c>
      <c r="M164" s="2"/>
      <c r="N164" s="2" t="s">
        <v>98</v>
      </c>
      <c r="O164" s="2" t="s">
        <v>106</v>
      </c>
      <c r="P164" s="2" t="s">
        <v>105</v>
      </c>
      <c r="Q164" s="2" t="s">
        <v>60</v>
      </c>
      <c r="R164" s="5">
        <v>2.1840277777777777</v>
      </c>
      <c r="S164" s="2" t="s">
        <v>61</v>
      </c>
      <c r="T164" s="2" t="s">
        <v>62</v>
      </c>
    </row>
    <row r="165" spans="1:20" ht="22.8" customHeight="1" x14ac:dyDescent="0.3">
      <c r="A165" s="2" t="s">
        <v>790</v>
      </c>
      <c r="B165" s="2" t="s">
        <v>205</v>
      </c>
      <c r="C165" s="2" t="s">
        <v>206</v>
      </c>
      <c r="D165" s="3">
        <v>46182.504050925927</v>
      </c>
      <c r="E165" s="3">
        <v>46185.366493055553</v>
      </c>
      <c r="F165" s="2" t="s">
        <v>77</v>
      </c>
      <c r="G165" s="2">
        <v>3</v>
      </c>
      <c r="H165" s="2" t="s">
        <v>791</v>
      </c>
      <c r="I165" s="4" t="s">
        <v>792</v>
      </c>
      <c r="J165" s="2"/>
      <c r="K165" s="2" t="s">
        <v>55</v>
      </c>
      <c r="L165" s="2" t="s">
        <v>78</v>
      </c>
      <c r="M165" s="2"/>
      <c r="N165" s="2" t="s">
        <v>78</v>
      </c>
      <c r="O165" s="2" t="s">
        <v>94</v>
      </c>
      <c r="P165" s="2" t="s">
        <v>78</v>
      </c>
      <c r="Q165" s="2" t="s">
        <v>60</v>
      </c>
      <c r="R165" s="5">
        <v>1.175</v>
      </c>
      <c r="S165" s="2" t="s">
        <v>61</v>
      </c>
      <c r="T165" s="2" t="s">
        <v>62</v>
      </c>
    </row>
    <row r="166" spans="1:20" ht="22.8" customHeight="1" x14ac:dyDescent="0.3">
      <c r="A166" s="2" t="s">
        <v>793</v>
      </c>
      <c r="B166" s="2" t="s">
        <v>794</v>
      </c>
      <c r="C166" s="2" t="s">
        <v>795</v>
      </c>
      <c r="D166" s="3">
        <v>46182.575069444443</v>
      </c>
      <c r="E166" s="3">
        <v>46185.62195601852</v>
      </c>
      <c r="F166" s="2" t="s">
        <v>84</v>
      </c>
      <c r="G166" s="2">
        <v>3</v>
      </c>
      <c r="H166" s="2" t="s">
        <v>85</v>
      </c>
      <c r="I166" s="4" t="s">
        <v>796</v>
      </c>
      <c r="J166" s="2"/>
      <c r="K166" s="2" t="s">
        <v>76</v>
      </c>
      <c r="L166" s="2" t="s">
        <v>102</v>
      </c>
      <c r="M166" s="2"/>
      <c r="N166" s="2" t="s">
        <v>86</v>
      </c>
      <c r="O166" s="2" t="s">
        <v>87</v>
      </c>
      <c r="P166" s="2" t="s">
        <v>102</v>
      </c>
      <c r="Q166" s="2" t="s">
        <v>60</v>
      </c>
      <c r="R166" s="5">
        <v>1.3597222222222223</v>
      </c>
      <c r="S166" s="2" t="s">
        <v>61</v>
      </c>
      <c r="T166" s="2" t="s">
        <v>62</v>
      </c>
    </row>
    <row r="167" spans="1:20" ht="22.8" customHeight="1" x14ac:dyDescent="0.3">
      <c r="A167" s="2" t="s">
        <v>797</v>
      </c>
      <c r="B167" s="2" t="s">
        <v>798</v>
      </c>
      <c r="C167" s="2" t="s">
        <v>799</v>
      </c>
      <c r="D167" s="3">
        <v>46182.652881944443</v>
      </c>
      <c r="E167" s="3">
        <v>46184.570231481484</v>
      </c>
      <c r="F167" s="2" t="s">
        <v>97</v>
      </c>
      <c r="G167" s="2">
        <v>3</v>
      </c>
      <c r="H167" s="2" t="s">
        <v>800</v>
      </c>
      <c r="I167" s="2"/>
      <c r="J167" s="2"/>
      <c r="K167" s="2" t="s">
        <v>55</v>
      </c>
      <c r="L167" s="2" t="s">
        <v>105</v>
      </c>
      <c r="M167" s="2"/>
      <c r="N167" s="2" t="s">
        <v>98</v>
      </c>
      <c r="O167" s="2" t="s">
        <v>106</v>
      </c>
      <c r="P167" s="2" t="s">
        <v>105</v>
      </c>
      <c r="Q167" s="2" t="s">
        <v>60</v>
      </c>
      <c r="R167" s="6">
        <v>0.79236111111111107</v>
      </c>
      <c r="S167" s="2" t="s">
        <v>61</v>
      </c>
      <c r="T167" s="2" t="s">
        <v>62</v>
      </c>
    </row>
    <row r="168" spans="1:20" ht="22.8" customHeight="1" x14ac:dyDescent="0.3">
      <c r="A168" s="2" t="s">
        <v>801</v>
      </c>
      <c r="B168" s="2" t="s">
        <v>798</v>
      </c>
      <c r="C168" s="2" t="s">
        <v>799</v>
      </c>
      <c r="D168" s="3">
        <v>46182.666250000002</v>
      </c>
      <c r="E168" s="3">
        <v>46184.589756944442</v>
      </c>
      <c r="F168" s="2" t="s">
        <v>97</v>
      </c>
      <c r="G168" s="2">
        <v>3</v>
      </c>
      <c r="H168" s="2" t="s">
        <v>802</v>
      </c>
      <c r="I168" s="2"/>
      <c r="J168" s="2"/>
      <c r="K168" s="2" t="s">
        <v>55</v>
      </c>
      <c r="L168" s="2" t="s">
        <v>105</v>
      </c>
      <c r="M168" s="2"/>
      <c r="N168" s="2" t="s">
        <v>98</v>
      </c>
      <c r="O168" s="2" t="s">
        <v>106</v>
      </c>
      <c r="P168" s="2" t="s">
        <v>105</v>
      </c>
      <c r="Q168" s="2" t="s">
        <v>60</v>
      </c>
      <c r="R168" s="6">
        <v>0.79861111111111116</v>
      </c>
      <c r="S168" s="2" t="s">
        <v>61</v>
      </c>
      <c r="T168" s="2" t="s">
        <v>62</v>
      </c>
    </row>
    <row r="169" spans="1:20" ht="22.8" customHeight="1" x14ac:dyDescent="0.3">
      <c r="A169" s="2" t="s">
        <v>803</v>
      </c>
      <c r="B169" s="2" t="s">
        <v>804</v>
      </c>
      <c r="C169" s="2" t="s">
        <v>805</v>
      </c>
      <c r="D169" s="3">
        <v>46182.667916666665</v>
      </c>
      <c r="E169" s="3">
        <v>46182.67633101852</v>
      </c>
      <c r="F169" s="2" t="s">
        <v>73</v>
      </c>
      <c r="G169" s="2">
        <v>3</v>
      </c>
      <c r="H169" s="2" t="s">
        <v>806</v>
      </c>
      <c r="I169" s="4" t="s">
        <v>807</v>
      </c>
      <c r="J169" s="2"/>
      <c r="K169" s="2" t="s">
        <v>76</v>
      </c>
      <c r="L169" s="2" t="s">
        <v>58</v>
      </c>
      <c r="M169" s="2"/>
      <c r="N169" s="2" t="s">
        <v>58</v>
      </c>
      <c r="O169" s="2" t="s">
        <v>59</v>
      </c>
      <c r="P169" s="2" t="s">
        <v>58</v>
      </c>
      <c r="Q169" s="2" t="s">
        <v>60</v>
      </c>
      <c r="R169" s="6">
        <v>9.0277777777777769E-3</v>
      </c>
      <c r="S169" s="2" t="s">
        <v>61</v>
      </c>
      <c r="T169" s="2" t="s">
        <v>62</v>
      </c>
    </row>
    <row r="170" spans="1:20" ht="22.8" customHeight="1" x14ac:dyDescent="0.3">
      <c r="A170" s="2" t="s">
        <v>808</v>
      </c>
      <c r="B170" s="2" t="s">
        <v>602</v>
      </c>
      <c r="C170" s="2" t="s">
        <v>603</v>
      </c>
      <c r="D170" s="3">
        <v>46182.685185185182</v>
      </c>
      <c r="E170" s="3">
        <v>46183.569988425923</v>
      </c>
      <c r="F170" s="2" t="s">
        <v>88</v>
      </c>
      <c r="G170" s="2">
        <v>3</v>
      </c>
      <c r="H170" s="2" t="s">
        <v>809</v>
      </c>
      <c r="I170" s="4" t="s">
        <v>810</v>
      </c>
      <c r="J170" s="2"/>
      <c r="K170" s="2" t="s">
        <v>55</v>
      </c>
      <c r="L170" s="2" t="s">
        <v>81</v>
      </c>
      <c r="M170" s="2"/>
      <c r="N170" s="2" t="s">
        <v>78</v>
      </c>
      <c r="O170" s="2" t="s">
        <v>94</v>
      </c>
      <c r="P170" s="2" t="s">
        <v>81</v>
      </c>
      <c r="Q170" s="2" t="s">
        <v>60</v>
      </c>
      <c r="R170" s="6">
        <v>0.32291666666666669</v>
      </c>
      <c r="S170" s="2" t="s">
        <v>61</v>
      </c>
      <c r="T170" s="2" t="s">
        <v>62</v>
      </c>
    </row>
    <row r="171" spans="1:20" ht="22.8" customHeight="1" x14ac:dyDescent="0.3">
      <c r="A171" s="2" t="s">
        <v>811</v>
      </c>
      <c r="B171" s="2" t="s">
        <v>167</v>
      </c>
      <c r="C171" s="2" t="s">
        <v>168</v>
      </c>
      <c r="D171" s="3">
        <v>46183.357754629629</v>
      </c>
      <c r="E171" s="3">
        <v>46184.532777777778</v>
      </c>
      <c r="F171" s="2" t="s">
        <v>97</v>
      </c>
      <c r="G171" s="2">
        <v>3</v>
      </c>
      <c r="H171" s="2" t="s">
        <v>812</v>
      </c>
      <c r="I171" s="4" t="s">
        <v>813</v>
      </c>
      <c r="J171" s="2"/>
      <c r="K171" s="2" t="s">
        <v>55</v>
      </c>
      <c r="L171" s="2" t="s">
        <v>105</v>
      </c>
      <c r="M171" s="2"/>
      <c r="N171" s="2" t="s">
        <v>98</v>
      </c>
      <c r="O171" s="2" t="s">
        <v>171</v>
      </c>
      <c r="P171" s="2" t="s">
        <v>105</v>
      </c>
      <c r="Q171" s="2" t="s">
        <v>60</v>
      </c>
      <c r="R171" s="6">
        <v>0.61319444444444449</v>
      </c>
      <c r="S171" s="2" t="s">
        <v>61</v>
      </c>
      <c r="T171" s="2" t="s">
        <v>62</v>
      </c>
    </row>
    <row r="172" spans="1:20" ht="22.8" customHeight="1" x14ac:dyDescent="0.3">
      <c r="A172" s="2" t="s">
        <v>814</v>
      </c>
      <c r="B172" s="2" t="s">
        <v>786</v>
      </c>
      <c r="C172" s="2" t="s">
        <v>787</v>
      </c>
      <c r="D172" s="3">
        <v>46183.375648148147</v>
      </c>
      <c r="E172" s="3">
        <v>46183.455590277779</v>
      </c>
      <c r="F172" s="2" t="s">
        <v>56</v>
      </c>
      <c r="G172" s="2">
        <v>3</v>
      </c>
      <c r="H172" s="2" t="s">
        <v>57</v>
      </c>
      <c r="I172" s="4" t="s">
        <v>192</v>
      </c>
      <c r="J172" s="2"/>
      <c r="K172" s="2" t="s">
        <v>55</v>
      </c>
      <c r="L172" s="2" t="s">
        <v>58</v>
      </c>
      <c r="M172" s="2"/>
      <c r="N172" s="2" t="s">
        <v>58</v>
      </c>
      <c r="O172" s="2" t="s">
        <v>74</v>
      </c>
      <c r="P172" s="2" t="s">
        <v>58</v>
      </c>
      <c r="Q172" s="2" t="s">
        <v>60</v>
      </c>
      <c r="R172" s="6">
        <v>8.0555555555555561E-2</v>
      </c>
      <c r="S172" s="2" t="s">
        <v>61</v>
      </c>
      <c r="T172" s="2" t="s">
        <v>62</v>
      </c>
    </row>
    <row r="173" spans="1:20" ht="22.8" customHeight="1" x14ac:dyDescent="0.3">
      <c r="A173" s="2" t="s">
        <v>815</v>
      </c>
      <c r="B173" s="2" t="s">
        <v>786</v>
      </c>
      <c r="C173" s="2" t="s">
        <v>787</v>
      </c>
      <c r="D173" s="3">
        <v>46183.375937500001</v>
      </c>
      <c r="E173" s="3">
        <v>46183.595555555556</v>
      </c>
      <c r="F173" s="2" t="s">
        <v>63</v>
      </c>
      <c r="G173" s="2">
        <v>3</v>
      </c>
      <c r="H173" s="2" t="s">
        <v>816</v>
      </c>
      <c r="I173" s="4" t="s">
        <v>183</v>
      </c>
      <c r="J173" s="2"/>
      <c r="K173" s="2" t="s">
        <v>55</v>
      </c>
      <c r="L173" s="2" t="s">
        <v>58</v>
      </c>
      <c r="M173" s="2"/>
      <c r="N173" s="2" t="s">
        <v>58</v>
      </c>
      <c r="O173" s="2" t="s">
        <v>59</v>
      </c>
      <c r="P173" s="2" t="s">
        <v>58</v>
      </c>
      <c r="Q173" s="2" t="s">
        <v>60</v>
      </c>
      <c r="R173" s="6">
        <v>0.22013888888888888</v>
      </c>
      <c r="S173" s="2" t="s">
        <v>61</v>
      </c>
      <c r="T173" s="2" t="s">
        <v>62</v>
      </c>
    </row>
    <row r="174" spans="1:20" ht="22.8" customHeight="1" x14ac:dyDescent="0.3">
      <c r="A174" s="2" t="s">
        <v>817</v>
      </c>
      <c r="B174" s="2" t="s">
        <v>788</v>
      </c>
      <c r="C174" s="2" t="s">
        <v>789</v>
      </c>
      <c r="D174" s="3">
        <v>46183.376817129632</v>
      </c>
      <c r="E174" s="3">
        <v>46183.453194444446</v>
      </c>
      <c r="F174" s="2" t="s">
        <v>56</v>
      </c>
      <c r="G174" s="2">
        <v>3</v>
      </c>
      <c r="H174" s="2" t="s">
        <v>57</v>
      </c>
      <c r="I174" s="4" t="s">
        <v>192</v>
      </c>
      <c r="J174" s="2"/>
      <c r="K174" s="2" t="s">
        <v>55</v>
      </c>
      <c r="L174" s="2" t="s">
        <v>58</v>
      </c>
      <c r="M174" s="2"/>
      <c r="N174" s="2" t="s">
        <v>58</v>
      </c>
      <c r="O174" s="2" t="s">
        <v>74</v>
      </c>
      <c r="P174" s="2" t="s">
        <v>58</v>
      </c>
      <c r="Q174" s="2" t="s">
        <v>60</v>
      </c>
      <c r="R174" s="6">
        <v>7.6388888888888895E-2</v>
      </c>
      <c r="S174" s="2" t="s">
        <v>61</v>
      </c>
      <c r="T174" s="2" t="s">
        <v>62</v>
      </c>
    </row>
    <row r="175" spans="1:20" ht="22.8" customHeight="1" x14ac:dyDescent="0.3">
      <c r="A175" s="2" t="s">
        <v>818</v>
      </c>
      <c r="B175" s="2" t="s">
        <v>788</v>
      </c>
      <c r="C175" s="2" t="s">
        <v>789</v>
      </c>
      <c r="D175" s="3">
        <v>46183.377060185187</v>
      </c>
      <c r="E175" s="3">
        <v>46183.59443287037</v>
      </c>
      <c r="F175" s="2" t="s">
        <v>63</v>
      </c>
      <c r="G175" s="2">
        <v>3</v>
      </c>
      <c r="H175" s="2" t="s">
        <v>816</v>
      </c>
      <c r="I175" s="4" t="s">
        <v>183</v>
      </c>
      <c r="J175" s="2"/>
      <c r="K175" s="2" t="s">
        <v>55</v>
      </c>
      <c r="L175" s="2" t="s">
        <v>58</v>
      </c>
      <c r="M175" s="2"/>
      <c r="N175" s="2" t="s">
        <v>58</v>
      </c>
      <c r="O175" s="2" t="s">
        <v>59</v>
      </c>
      <c r="P175" s="2" t="s">
        <v>58</v>
      </c>
      <c r="Q175" s="2" t="s">
        <v>60</v>
      </c>
      <c r="R175" s="6">
        <v>0.21805555555555556</v>
      </c>
      <c r="S175" s="2" t="s">
        <v>61</v>
      </c>
      <c r="T175" s="2" t="s">
        <v>62</v>
      </c>
    </row>
    <row r="176" spans="1:20" ht="22.8" customHeight="1" x14ac:dyDescent="0.3">
      <c r="A176" s="2" t="s">
        <v>819</v>
      </c>
      <c r="B176" s="2" t="s">
        <v>820</v>
      </c>
      <c r="C176" s="2" t="s">
        <v>821</v>
      </c>
      <c r="D176" s="3">
        <v>46183.379201388889</v>
      </c>
      <c r="E176" s="3">
        <v>46185.592164351852</v>
      </c>
      <c r="F176" s="2" t="s">
        <v>88</v>
      </c>
      <c r="G176" s="2">
        <v>3</v>
      </c>
      <c r="H176" s="2" t="s">
        <v>809</v>
      </c>
      <c r="I176" s="4" t="s">
        <v>822</v>
      </c>
      <c r="J176" s="2"/>
      <c r="K176" s="2" t="s">
        <v>55</v>
      </c>
      <c r="L176" s="2" t="s">
        <v>81</v>
      </c>
      <c r="M176" s="2"/>
      <c r="N176" s="2" t="s">
        <v>78</v>
      </c>
      <c r="O176" s="2" t="s">
        <v>94</v>
      </c>
      <c r="P176" s="2" t="s">
        <v>81</v>
      </c>
      <c r="Q176" s="2" t="s">
        <v>60</v>
      </c>
      <c r="R176" s="5">
        <v>1.0881944444444445</v>
      </c>
      <c r="S176" s="2" t="s">
        <v>61</v>
      </c>
      <c r="T176" s="2" t="s">
        <v>62</v>
      </c>
    </row>
    <row r="177" spans="1:20" ht="22.8" customHeight="1" x14ac:dyDescent="0.3">
      <c r="A177" s="2" t="s">
        <v>823</v>
      </c>
      <c r="B177" s="2" t="s">
        <v>755</v>
      </c>
      <c r="C177" s="2" t="s">
        <v>756</v>
      </c>
      <c r="D177" s="3">
        <v>46183.402094907404</v>
      </c>
      <c r="E177" s="3">
        <v>46185.619780092595</v>
      </c>
      <c r="F177" s="2" t="s">
        <v>77</v>
      </c>
      <c r="G177" s="2">
        <v>3</v>
      </c>
      <c r="H177" s="2" t="s">
        <v>824</v>
      </c>
      <c r="I177" s="4" t="s">
        <v>184</v>
      </c>
      <c r="J177" s="2"/>
      <c r="K177" s="2" t="s">
        <v>55</v>
      </c>
      <c r="L177" s="2" t="s">
        <v>81</v>
      </c>
      <c r="M177" s="2"/>
      <c r="N177" s="2" t="s">
        <v>78</v>
      </c>
      <c r="O177" s="2" t="s">
        <v>94</v>
      </c>
      <c r="P177" s="2" t="s">
        <v>81</v>
      </c>
      <c r="Q177" s="2" t="s">
        <v>60</v>
      </c>
      <c r="R177" s="5">
        <v>1.0930555555555554</v>
      </c>
      <c r="S177" s="2" t="s">
        <v>61</v>
      </c>
      <c r="T177" s="2" t="s">
        <v>62</v>
      </c>
    </row>
    <row r="178" spans="1:20" ht="22.8" customHeight="1" x14ac:dyDescent="0.3">
      <c r="A178" s="2" t="s">
        <v>825</v>
      </c>
      <c r="B178" s="2" t="s">
        <v>826</v>
      </c>
      <c r="C178" s="2" t="s">
        <v>827</v>
      </c>
      <c r="D178" s="3">
        <v>46183.403564814813</v>
      </c>
      <c r="E178" s="3">
        <v>46198.676145833335</v>
      </c>
      <c r="F178" s="2" t="s">
        <v>123</v>
      </c>
      <c r="G178" s="2">
        <v>3</v>
      </c>
      <c r="H178" s="2" t="s">
        <v>201</v>
      </c>
      <c r="I178" s="4" t="s">
        <v>828</v>
      </c>
      <c r="J178" s="2"/>
      <c r="K178" s="2" t="s">
        <v>55</v>
      </c>
      <c r="L178" s="2" t="s">
        <v>78</v>
      </c>
      <c r="M178" s="2"/>
      <c r="N178" s="2" t="s">
        <v>78</v>
      </c>
      <c r="O178" s="2" t="s">
        <v>94</v>
      </c>
      <c r="P178" s="2" t="s">
        <v>78</v>
      </c>
      <c r="Q178" s="2" t="s">
        <v>60</v>
      </c>
      <c r="R178" s="5">
        <v>5.0854166666666663</v>
      </c>
      <c r="S178" s="2" t="s">
        <v>61</v>
      </c>
      <c r="T178" s="2" t="s">
        <v>62</v>
      </c>
    </row>
    <row r="179" spans="1:20" ht="22.8" customHeight="1" x14ac:dyDescent="0.3">
      <c r="A179" s="2" t="s">
        <v>829</v>
      </c>
      <c r="B179" s="2" t="s">
        <v>738</v>
      </c>
      <c r="C179" s="2" t="s">
        <v>739</v>
      </c>
      <c r="D179" s="3">
        <v>46183.407256944447</v>
      </c>
      <c r="E179" s="3">
        <v>46185.622430555559</v>
      </c>
      <c r="F179" s="2" t="s">
        <v>84</v>
      </c>
      <c r="G179" s="2">
        <v>3</v>
      </c>
      <c r="H179" s="2" t="s">
        <v>85</v>
      </c>
      <c r="I179" s="4" t="s">
        <v>830</v>
      </c>
      <c r="J179" s="2"/>
      <c r="K179" s="2" t="s">
        <v>76</v>
      </c>
      <c r="L179" s="2" t="s">
        <v>102</v>
      </c>
      <c r="M179" s="2"/>
      <c r="N179" s="2" t="s">
        <v>86</v>
      </c>
      <c r="O179" s="2" t="s">
        <v>87</v>
      </c>
      <c r="P179" s="2" t="s">
        <v>102</v>
      </c>
      <c r="Q179" s="2" t="s">
        <v>60</v>
      </c>
      <c r="R179" s="5">
        <v>1.0902777777777777</v>
      </c>
      <c r="S179" s="2" t="s">
        <v>61</v>
      </c>
      <c r="T179" s="2" t="s">
        <v>62</v>
      </c>
    </row>
    <row r="180" spans="1:20" ht="22.8" customHeight="1" x14ac:dyDescent="0.3">
      <c r="A180" s="2" t="s">
        <v>831</v>
      </c>
      <c r="B180" s="2" t="s">
        <v>167</v>
      </c>
      <c r="C180" s="2" t="s">
        <v>168</v>
      </c>
      <c r="D180" s="3">
        <v>46183.423541666663</v>
      </c>
      <c r="E180" s="3">
        <v>46183.521458333336</v>
      </c>
      <c r="F180" s="2" t="s">
        <v>70</v>
      </c>
      <c r="G180" s="2">
        <v>3</v>
      </c>
      <c r="H180" s="2" t="s">
        <v>832</v>
      </c>
      <c r="I180" s="4" t="s">
        <v>833</v>
      </c>
      <c r="J180" s="2"/>
      <c r="K180" s="2" t="s">
        <v>55</v>
      </c>
      <c r="L180" s="2" t="s">
        <v>71</v>
      </c>
      <c r="M180" s="2"/>
      <c r="N180" s="2" t="s">
        <v>71</v>
      </c>
      <c r="O180" s="2" t="s">
        <v>200</v>
      </c>
      <c r="P180" s="2" t="s">
        <v>71</v>
      </c>
      <c r="Q180" s="2" t="s">
        <v>60</v>
      </c>
      <c r="R180" s="6">
        <v>9.7916666666666666E-2</v>
      </c>
      <c r="S180" s="2" t="s">
        <v>61</v>
      </c>
      <c r="T180" s="2" t="s">
        <v>62</v>
      </c>
    </row>
    <row r="181" spans="1:20" ht="22.8" customHeight="1" x14ac:dyDescent="0.3">
      <c r="A181" s="2" t="s">
        <v>839</v>
      </c>
      <c r="B181" s="2" t="s">
        <v>840</v>
      </c>
      <c r="C181" s="2" t="s">
        <v>841</v>
      </c>
      <c r="D181" s="3">
        <v>46183.450196759259</v>
      </c>
      <c r="E181" s="3">
        <v>46202.385231481479</v>
      </c>
      <c r="F181" s="2" t="s">
        <v>99</v>
      </c>
      <c r="G181" s="2">
        <v>2</v>
      </c>
      <c r="H181" s="2" t="s">
        <v>842</v>
      </c>
      <c r="I181" s="4" t="s">
        <v>843</v>
      </c>
      <c r="J181" s="2"/>
      <c r="K181" s="2" t="s">
        <v>55</v>
      </c>
      <c r="L181" s="2" t="s">
        <v>78</v>
      </c>
      <c r="M181" s="2"/>
      <c r="N181" s="2" t="s">
        <v>78</v>
      </c>
      <c r="O181" s="2" t="s">
        <v>94</v>
      </c>
      <c r="P181" s="2" t="s">
        <v>78</v>
      </c>
      <c r="Q181" s="2" t="s">
        <v>60</v>
      </c>
      <c r="R181" s="5">
        <v>2.6979166666666665</v>
      </c>
      <c r="S181" s="2" t="s">
        <v>108</v>
      </c>
      <c r="T181" s="2" t="s">
        <v>62</v>
      </c>
    </row>
    <row r="182" spans="1:20" ht="22.8" customHeight="1" x14ac:dyDescent="0.3">
      <c r="A182" s="2" t="s">
        <v>844</v>
      </c>
      <c r="B182" s="2" t="s">
        <v>845</v>
      </c>
      <c r="C182" s="2" t="s">
        <v>846</v>
      </c>
      <c r="D182" s="3">
        <v>46183.452465277776</v>
      </c>
      <c r="E182" s="3">
        <v>46184.459837962961</v>
      </c>
      <c r="F182" s="2" t="s">
        <v>73</v>
      </c>
      <c r="G182" s="2">
        <v>2</v>
      </c>
      <c r="H182" s="2" t="s">
        <v>847</v>
      </c>
      <c r="I182" s="4" t="s">
        <v>183</v>
      </c>
      <c r="J182" s="2"/>
      <c r="K182" s="2" t="s">
        <v>67</v>
      </c>
      <c r="L182" s="2" t="s">
        <v>58</v>
      </c>
      <c r="M182" s="2"/>
      <c r="N182" s="2" t="s">
        <v>58</v>
      </c>
      <c r="O182" s="2" t="s">
        <v>59</v>
      </c>
      <c r="P182" s="2" t="s">
        <v>58</v>
      </c>
      <c r="Q182" s="2" t="s">
        <v>60</v>
      </c>
      <c r="R182" s="6">
        <v>0.44513888888888886</v>
      </c>
      <c r="S182" s="2" t="s">
        <v>61</v>
      </c>
      <c r="T182" s="2" t="s">
        <v>62</v>
      </c>
    </row>
    <row r="183" spans="1:20" ht="22.8" customHeight="1" x14ac:dyDescent="0.3">
      <c r="A183" s="2" t="s">
        <v>848</v>
      </c>
      <c r="B183" s="2" t="s">
        <v>849</v>
      </c>
      <c r="C183" s="2" t="s">
        <v>850</v>
      </c>
      <c r="D183" s="3">
        <v>46183.455543981479</v>
      </c>
      <c r="E183" s="3">
        <v>46184.460636574076</v>
      </c>
      <c r="F183" s="2" t="s">
        <v>73</v>
      </c>
      <c r="G183" s="2">
        <v>3</v>
      </c>
      <c r="H183" s="2" t="s">
        <v>851</v>
      </c>
      <c r="I183" s="4" t="s">
        <v>183</v>
      </c>
      <c r="J183" s="2"/>
      <c r="K183" s="2" t="s">
        <v>67</v>
      </c>
      <c r="L183" s="2" t="s">
        <v>58</v>
      </c>
      <c r="M183" s="2"/>
      <c r="N183" s="2" t="s">
        <v>58</v>
      </c>
      <c r="O183" s="2" t="s">
        <v>59</v>
      </c>
      <c r="P183" s="2" t="s">
        <v>58</v>
      </c>
      <c r="Q183" s="2" t="s">
        <v>60</v>
      </c>
      <c r="R183" s="6">
        <v>0.44305555555555554</v>
      </c>
      <c r="S183" s="2" t="s">
        <v>61</v>
      </c>
      <c r="T183" s="2" t="s">
        <v>62</v>
      </c>
    </row>
    <row r="184" spans="1:20" ht="22.8" customHeight="1" x14ac:dyDescent="0.3">
      <c r="A184" s="2" t="s">
        <v>852</v>
      </c>
      <c r="B184" s="2" t="s">
        <v>853</v>
      </c>
      <c r="C184" s="2" t="s">
        <v>854</v>
      </c>
      <c r="D184" s="3">
        <v>46183.470173611109</v>
      </c>
      <c r="E184" s="3">
        <v>46183.527025462965</v>
      </c>
      <c r="F184" s="2" t="s">
        <v>112</v>
      </c>
      <c r="G184" s="2">
        <v>3</v>
      </c>
      <c r="H184" s="2" t="s">
        <v>855</v>
      </c>
      <c r="I184" s="4" t="s">
        <v>667</v>
      </c>
      <c r="J184" s="2"/>
      <c r="K184" s="2" t="s">
        <v>67</v>
      </c>
      <c r="L184" s="2" t="s">
        <v>78</v>
      </c>
      <c r="M184" s="2"/>
      <c r="N184" s="2" t="s">
        <v>79</v>
      </c>
      <c r="O184" s="2" t="s">
        <v>80</v>
      </c>
      <c r="P184" s="2" t="s">
        <v>78</v>
      </c>
      <c r="Q184" s="2" t="s">
        <v>60</v>
      </c>
      <c r="R184" s="6">
        <v>5.6944444444444443E-2</v>
      </c>
      <c r="S184" s="2" t="s">
        <v>61</v>
      </c>
      <c r="T184" s="2" t="s">
        <v>62</v>
      </c>
    </row>
    <row r="185" spans="1:20" ht="22.8" customHeight="1" x14ac:dyDescent="0.3">
      <c r="A185" s="2" t="s">
        <v>856</v>
      </c>
      <c r="B185" s="2" t="s">
        <v>857</v>
      </c>
      <c r="C185" s="2" t="s">
        <v>858</v>
      </c>
      <c r="D185" s="3">
        <v>46183.481886574074</v>
      </c>
      <c r="E185" s="3">
        <v>46183.585682870369</v>
      </c>
      <c r="F185" s="2" t="s">
        <v>162</v>
      </c>
      <c r="G185" s="2">
        <v>3</v>
      </c>
      <c r="H185" s="2" t="s">
        <v>859</v>
      </c>
      <c r="I185" s="4" t="s">
        <v>860</v>
      </c>
      <c r="J185" s="2"/>
      <c r="K185" s="2" t="s">
        <v>76</v>
      </c>
      <c r="L185" s="2" t="s">
        <v>58</v>
      </c>
      <c r="M185" s="2"/>
      <c r="N185" s="2" t="s">
        <v>58</v>
      </c>
      <c r="O185" s="2" t="s">
        <v>59</v>
      </c>
      <c r="P185" s="2" t="s">
        <v>58</v>
      </c>
      <c r="Q185" s="2" t="s">
        <v>60</v>
      </c>
      <c r="R185" s="6">
        <v>0.10416666666666667</v>
      </c>
      <c r="S185" s="2" t="s">
        <v>61</v>
      </c>
      <c r="T185" s="2" t="s">
        <v>62</v>
      </c>
    </row>
    <row r="186" spans="1:20" ht="22.8" customHeight="1" x14ac:dyDescent="0.3">
      <c r="A186" s="2" t="s">
        <v>861</v>
      </c>
      <c r="B186" s="2" t="s">
        <v>857</v>
      </c>
      <c r="C186" s="2" t="s">
        <v>858</v>
      </c>
      <c r="D186" s="3">
        <v>46183.486342592594</v>
      </c>
      <c r="E186" s="3">
        <v>46183.579918981479</v>
      </c>
      <c r="F186" s="2" t="s">
        <v>162</v>
      </c>
      <c r="G186" s="2">
        <v>3</v>
      </c>
      <c r="H186" s="2" t="s">
        <v>862</v>
      </c>
      <c r="I186" s="4" t="s">
        <v>863</v>
      </c>
      <c r="J186" s="2"/>
      <c r="K186" s="2" t="s">
        <v>76</v>
      </c>
      <c r="L186" s="2" t="s">
        <v>58</v>
      </c>
      <c r="M186" s="2"/>
      <c r="N186" s="2" t="s">
        <v>58</v>
      </c>
      <c r="O186" s="2" t="s">
        <v>59</v>
      </c>
      <c r="P186" s="2" t="s">
        <v>58</v>
      </c>
      <c r="Q186" s="2" t="s">
        <v>60</v>
      </c>
      <c r="R186" s="6">
        <v>9.375E-2</v>
      </c>
      <c r="S186" s="2" t="s">
        <v>61</v>
      </c>
      <c r="T186" s="2" t="s">
        <v>62</v>
      </c>
    </row>
    <row r="187" spans="1:20" ht="22.8" customHeight="1" x14ac:dyDescent="0.3">
      <c r="A187" s="2" t="s">
        <v>864</v>
      </c>
      <c r="B187" s="2" t="s">
        <v>111</v>
      </c>
      <c r="C187" s="2" t="s">
        <v>152</v>
      </c>
      <c r="D187" s="3">
        <v>46183.593611111108</v>
      </c>
      <c r="E187" s="3">
        <v>46184.286319444444</v>
      </c>
      <c r="F187" s="2" t="s">
        <v>275</v>
      </c>
      <c r="G187" s="2">
        <v>3</v>
      </c>
      <c r="H187" s="2" t="s">
        <v>865</v>
      </c>
      <c r="I187" s="2"/>
      <c r="J187" s="2"/>
      <c r="K187" s="2" t="s">
        <v>55</v>
      </c>
      <c r="L187" s="2" t="s">
        <v>126</v>
      </c>
      <c r="M187" s="2" t="s">
        <v>126</v>
      </c>
      <c r="N187" s="2" t="s">
        <v>126</v>
      </c>
      <c r="O187" s="2" t="s">
        <v>225</v>
      </c>
      <c r="P187" s="2" t="s">
        <v>126</v>
      </c>
      <c r="Q187" s="2" t="s">
        <v>60</v>
      </c>
      <c r="R187" s="6">
        <v>0</v>
      </c>
      <c r="S187" s="2" t="s">
        <v>61</v>
      </c>
      <c r="T187" s="2" t="s">
        <v>276</v>
      </c>
    </row>
    <row r="188" spans="1:20" ht="22.8" customHeight="1" x14ac:dyDescent="0.3">
      <c r="A188" s="2" t="s">
        <v>866</v>
      </c>
      <c r="B188" s="2" t="s">
        <v>867</v>
      </c>
      <c r="C188" s="2" t="s">
        <v>868</v>
      </c>
      <c r="D188" s="3">
        <v>46183.597581018519</v>
      </c>
      <c r="E188" s="3">
        <v>46189.500509259262</v>
      </c>
      <c r="F188" s="2" t="s">
        <v>97</v>
      </c>
      <c r="G188" s="2">
        <v>2</v>
      </c>
      <c r="H188" s="2" t="s">
        <v>869</v>
      </c>
      <c r="I188" s="4" t="s">
        <v>870</v>
      </c>
      <c r="J188" s="2"/>
      <c r="K188" s="2" t="s">
        <v>55</v>
      </c>
      <c r="L188" s="2" t="s">
        <v>105</v>
      </c>
      <c r="M188" s="2"/>
      <c r="N188" s="2" t="s">
        <v>98</v>
      </c>
      <c r="O188" s="2" t="s">
        <v>664</v>
      </c>
      <c r="P188" s="2" t="s">
        <v>105</v>
      </c>
      <c r="Q188" s="2" t="s">
        <v>60</v>
      </c>
      <c r="R188" s="5">
        <v>1.1402777777777777</v>
      </c>
      <c r="S188" s="2" t="s">
        <v>61</v>
      </c>
      <c r="T188" s="2" t="s">
        <v>62</v>
      </c>
    </row>
    <row r="189" spans="1:20" ht="22.8" customHeight="1" x14ac:dyDescent="0.3">
      <c r="A189" s="2" t="s">
        <v>871</v>
      </c>
      <c r="B189" s="2" t="s">
        <v>867</v>
      </c>
      <c r="C189" s="2" t="s">
        <v>868</v>
      </c>
      <c r="D189" s="3">
        <v>46183.599745370368</v>
      </c>
      <c r="E189" s="3">
        <v>46189.501909722225</v>
      </c>
      <c r="F189" s="2" t="s">
        <v>97</v>
      </c>
      <c r="G189" s="2">
        <v>2</v>
      </c>
      <c r="H189" s="2" t="s">
        <v>872</v>
      </c>
      <c r="I189" s="2"/>
      <c r="J189" s="2"/>
      <c r="K189" s="2" t="s">
        <v>55</v>
      </c>
      <c r="L189" s="2" t="s">
        <v>105</v>
      </c>
      <c r="M189" s="2"/>
      <c r="N189" s="2" t="s">
        <v>98</v>
      </c>
      <c r="O189" s="2" t="s">
        <v>664</v>
      </c>
      <c r="P189" s="2" t="s">
        <v>105</v>
      </c>
      <c r="Q189" s="2" t="s">
        <v>60</v>
      </c>
      <c r="R189" s="5">
        <v>1.1409722222222223</v>
      </c>
      <c r="S189" s="2" t="s">
        <v>61</v>
      </c>
      <c r="T189" s="2" t="s">
        <v>62</v>
      </c>
    </row>
    <row r="190" spans="1:20" ht="22.8" customHeight="1" x14ac:dyDescent="0.3">
      <c r="A190" s="2" t="s">
        <v>873</v>
      </c>
      <c r="B190" s="2" t="s">
        <v>867</v>
      </c>
      <c r="C190" s="2" t="s">
        <v>868</v>
      </c>
      <c r="D190" s="3">
        <v>46183.601956018516</v>
      </c>
      <c r="E190" s="3">
        <v>46189.502962962964</v>
      </c>
      <c r="F190" s="2" t="s">
        <v>97</v>
      </c>
      <c r="G190" s="2">
        <v>2</v>
      </c>
      <c r="H190" s="2" t="s">
        <v>874</v>
      </c>
      <c r="I190" s="2"/>
      <c r="J190" s="2"/>
      <c r="K190" s="2" t="s">
        <v>55</v>
      </c>
      <c r="L190" s="2" t="s">
        <v>105</v>
      </c>
      <c r="M190" s="2"/>
      <c r="N190" s="2" t="s">
        <v>98</v>
      </c>
      <c r="O190" s="2" t="s">
        <v>664</v>
      </c>
      <c r="P190" s="2" t="s">
        <v>105</v>
      </c>
      <c r="Q190" s="2" t="s">
        <v>60</v>
      </c>
      <c r="R190" s="5">
        <v>1.1395833333333334</v>
      </c>
      <c r="S190" s="2" t="s">
        <v>61</v>
      </c>
      <c r="T190" s="2" t="s">
        <v>62</v>
      </c>
    </row>
    <row r="191" spans="1:20" ht="22.8" customHeight="1" x14ac:dyDescent="0.3">
      <c r="A191" s="2" t="s">
        <v>875</v>
      </c>
      <c r="B191" s="2" t="s">
        <v>867</v>
      </c>
      <c r="C191" s="2" t="s">
        <v>868</v>
      </c>
      <c r="D191" s="3">
        <v>46183.603379629632</v>
      </c>
      <c r="E191" s="3">
        <v>46203.669733796298</v>
      </c>
      <c r="F191" s="2" t="s">
        <v>97</v>
      </c>
      <c r="G191" s="2">
        <v>2</v>
      </c>
      <c r="H191" s="2" t="s">
        <v>876</v>
      </c>
      <c r="I191" s="2"/>
      <c r="J191" s="2"/>
      <c r="K191" s="2" t="s">
        <v>55</v>
      </c>
      <c r="L191" s="2" t="s">
        <v>105</v>
      </c>
      <c r="M191" s="2"/>
      <c r="N191" s="2" t="s">
        <v>98</v>
      </c>
      <c r="O191" s="2" t="s">
        <v>106</v>
      </c>
      <c r="P191" s="2" t="s">
        <v>105</v>
      </c>
      <c r="Q191" s="2" t="s">
        <v>60</v>
      </c>
      <c r="R191" s="5">
        <v>1.9006944444444445</v>
      </c>
      <c r="S191" s="2" t="s">
        <v>108</v>
      </c>
      <c r="T191" s="2" t="s">
        <v>62</v>
      </c>
    </row>
    <row r="192" spans="1:20" ht="22.8" customHeight="1" x14ac:dyDescent="0.3">
      <c r="A192" s="2" t="s">
        <v>877</v>
      </c>
      <c r="B192" s="2" t="s">
        <v>878</v>
      </c>
      <c r="C192" s="2" t="s">
        <v>879</v>
      </c>
      <c r="D192" s="3">
        <v>46183.610960648148</v>
      </c>
      <c r="E192" s="3">
        <v>46185.38690972222</v>
      </c>
      <c r="F192" s="2" t="s">
        <v>154</v>
      </c>
      <c r="G192" s="2">
        <v>3</v>
      </c>
      <c r="H192" s="2" t="s">
        <v>155</v>
      </c>
      <c r="I192" s="4" t="s">
        <v>880</v>
      </c>
      <c r="J192" s="2"/>
      <c r="K192" s="2" t="s">
        <v>76</v>
      </c>
      <c r="L192" s="2" t="s">
        <v>81</v>
      </c>
      <c r="M192" s="2"/>
      <c r="N192" s="2" t="s">
        <v>156</v>
      </c>
      <c r="O192" s="2" t="s">
        <v>153</v>
      </c>
      <c r="P192" s="2" t="s">
        <v>81</v>
      </c>
      <c r="Q192" s="2" t="s">
        <v>60</v>
      </c>
      <c r="R192" s="6">
        <v>0.65138888888888891</v>
      </c>
      <c r="S192" s="2" t="s">
        <v>61</v>
      </c>
      <c r="T192" s="2" t="s">
        <v>62</v>
      </c>
    </row>
    <row r="193" spans="1:20" ht="22.8" customHeight="1" x14ac:dyDescent="0.3">
      <c r="A193" s="2" t="s">
        <v>881</v>
      </c>
      <c r="B193" s="2" t="s">
        <v>882</v>
      </c>
      <c r="C193" s="2" t="s">
        <v>883</v>
      </c>
      <c r="D193" s="3">
        <v>46183.620706018519</v>
      </c>
      <c r="E193" s="3">
        <v>46185.388009259259</v>
      </c>
      <c r="F193" s="2" t="s">
        <v>154</v>
      </c>
      <c r="G193" s="2">
        <v>3</v>
      </c>
      <c r="H193" s="2" t="s">
        <v>155</v>
      </c>
      <c r="I193" s="4" t="s">
        <v>372</v>
      </c>
      <c r="J193" s="2"/>
      <c r="K193" s="2" t="s">
        <v>76</v>
      </c>
      <c r="L193" s="2" t="s">
        <v>81</v>
      </c>
      <c r="M193" s="2"/>
      <c r="N193" s="2" t="s">
        <v>156</v>
      </c>
      <c r="O193" s="2" t="s">
        <v>153</v>
      </c>
      <c r="P193" s="2" t="s">
        <v>81</v>
      </c>
      <c r="Q193" s="2" t="s">
        <v>60</v>
      </c>
      <c r="R193" s="6">
        <v>0.64236111111111116</v>
      </c>
      <c r="S193" s="2" t="s">
        <v>61</v>
      </c>
      <c r="T193" s="2" t="s">
        <v>62</v>
      </c>
    </row>
    <row r="194" spans="1:20" ht="22.8" customHeight="1" x14ac:dyDescent="0.3">
      <c r="A194" s="2" t="s">
        <v>884</v>
      </c>
      <c r="B194" s="2" t="s">
        <v>636</v>
      </c>
      <c r="C194" s="2" t="s">
        <v>637</v>
      </c>
      <c r="D194" s="3">
        <v>46183.658078703702</v>
      </c>
      <c r="E194" s="3">
        <v>46196.427152777775</v>
      </c>
      <c r="F194" s="2" t="s">
        <v>77</v>
      </c>
      <c r="G194" s="2">
        <v>3</v>
      </c>
      <c r="H194" s="2" t="s">
        <v>885</v>
      </c>
      <c r="I194" s="4" t="s">
        <v>886</v>
      </c>
      <c r="J194" s="2"/>
      <c r="K194" s="2" t="s">
        <v>76</v>
      </c>
      <c r="L194" s="2" t="s">
        <v>81</v>
      </c>
      <c r="M194" s="2"/>
      <c r="N194" s="2" t="s">
        <v>81</v>
      </c>
      <c r="O194" s="2" t="s">
        <v>90</v>
      </c>
      <c r="P194" s="2" t="s">
        <v>81</v>
      </c>
      <c r="Q194" s="2" t="s">
        <v>60</v>
      </c>
      <c r="R194" s="5">
        <v>2.9513888888888888</v>
      </c>
      <c r="S194" s="2" t="s">
        <v>61</v>
      </c>
      <c r="T194" s="2" t="s">
        <v>62</v>
      </c>
    </row>
    <row r="195" spans="1:20" ht="22.8" customHeight="1" x14ac:dyDescent="0.3">
      <c r="A195" s="2" t="s">
        <v>887</v>
      </c>
      <c r="B195" s="2" t="s">
        <v>68</v>
      </c>
      <c r="C195" s="2" t="s">
        <v>69</v>
      </c>
      <c r="D195" s="3">
        <v>46183.660439814812</v>
      </c>
      <c r="E195" s="3">
        <v>46190.434918981482</v>
      </c>
      <c r="F195" s="2" t="s">
        <v>487</v>
      </c>
      <c r="G195" s="2">
        <v>2</v>
      </c>
      <c r="H195" s="2" t="s">
        <v>888</v>
      </c>
      <c r="I195" s="4" t="s">
        <v>889</v>
      </c>
      <c r="J195" s="2"/>
      <c r="K195" s="2" t="s">
        <v>55</v>
      </c>
      <c r="L195" s="2" t="s">
        <v>71</v>
      </c>
      <c r="M195" s="2"/>
      <c r="N195" s="2" t="s">
        <v>71</v>
      </c>
      <c r="O195" s="2" t="s">
        <v>139</v>
      </c>
      <c r="P195" s="2" t="s">
        <v>71</v>
      </c>
      <c r="Q195" s="2" t="s">
        <v>60</v>
      </c>
      <c r="R195" s="5">
        <v>1.9624999999999999</v>
      </c>
      <c r="S195" s="2" t="s">
        <v>61</v>
      </c>
      <c r="T195" s="2" t="s">
        <v>62</v>
      </c>
    </row>
    <row r="196" spans="1:20" ht="22.8" customHeight="1" x14ac:dyDescent="0.3">
      <c r="A196" s="2" t="s">
        <v>890</v>
      </c>
      <c r="B196" s="2" t="s">
        <v>68</v>
      </c>
      <c r="C196" s="2" t="s">
        <v>69</v>
      </c>
      <c r="D196" s="3">
        <v>46183.683009259257</v>
      </c>
      <c r="E196" s="3">
        <v>46202.740995370368</v>
      </c>
      <c r="F196" s="2" t="s">
        <v>100</v>
      </c>
      <c r="G196" s="2">
        <v>2</v>
      </c>
      <c r="H196" s="2" t="s">
        <v>891</v>
      </c>
      <c r="I196" s="2"/>
      <c r="J196" s="2"/>
      <c r="K196" s="2" t="s">
        <v>55</v>
      </c>
      <c r="L196" s="2" t="s">
        <v>71</v>
      </c>
      <c r="M196" s="2"/>
      <c r="N196" s="2" t="s">
        <v>892</v>
      </c>
      <c r="O196" s="2" t="s">
        <v>68</v>
      </c>
      <c r="P196" s="2" t="s">
        <v>71</v>
      </c>
      <c r="Q196" s="2" t="s">
        <v>60</v>
      </c>
      <c r="R196" s="5">
        <v>5.7458333333333336</v>
      </c>
      <c r="S196" s="2" t="s">
        <v>61</v>
      </c>
      <c r="T196" s="2" t="s">
        <v>189</v>
      </c>
    </row>
    <row r="197" spans="1:20" ht="22.8" customHeight="1" x14ac:dyDescent="0.3">
      <c r="A197" s="2" t="s">
        <v>893</v>
      </c>
      <c r="B197" s="2" t="s">
        <v>894</v>
      </c>
      <c r="C197" s="2" t="s">
        <v>895</v>
      </c>
      <c r="D197" s="3">
        <v>46183.683240740742</v>
      </c>
      <c r="E197" s="3">
        <v>46189.544328703705</v>
      </c>
      <c r="F197" s="2" t="s">
        <v>97</v>
      </c>
      <c r="G197" s="2">
        <v>2</v>
      </c>
      <c r="H197" s="2" t="s">
        <v>896</v>
      </c>
      <c r="I197" s="2"/>
      <c r="J197" s="2"/>
      <c r="K197" s="2" t="s">
        <v>55</v>
      </c>
      <c r="L197" s="2" t="s">
        <v>105</v>
      </c>
      <c r="M197" s="2"/>
      <c r="N197" s="2" t="s">
        <v>98</v>
      </c>
      <c r="O197" s="2" t="s">
        <v>664</v>
      </c>
      <c r="P197" s="2" t="s">
        <v>105</v>
      </c>
      <c r="Q197" s="2" t="s">
        <v>60</v>
      </c>
      <c r="R197" s="5">
        <v>1.6111111111111112</v>
      </c>
      <c r="S197" s="2" t="s">
        <v>61</v>
      </c>
      <c r="T197" s="2" t="s">
        <v>62</v>
      </c>
    </row>
    <row r="198" spans="1:20" ht="22.8" customHeight="1" x14ac:dyDescent="0.3">
      <c r="A198" s="2" t="s">
        <v>899</v>
      </c>
      <c r="B198" s="2" t="s">
        <v>247</v>
      </c>
      <c r="C198" s="2" t="s">
        <v>248</v>
      </c>
      <c r="D198" s="3">
        <v>46184.352280092593</v>
      </c>
      <c r="E198" s="3">
        <v>46197.412291666667</v>
      </c>
      <c r="F198" s="2" t="s">
        <v>77</v>
      </c>
      <c r="G198" s="2">
        <v>3</v>
      </c>
      <c r="H198" s="2" t="s">
        <v>900</v>
      </c>
      <c r="I198" s="4" t="s">
        <v>179</v>
      </c>
      <c r="J198" s="2"/>
      <c r="K198" s="2" t="s">
        <v>55</v>
      </c>
      <c r="L198" s="2" t="s">
        <v>81</v>
      </c>
      <c r="M198" s="2"/>
      <c r="N198" s="2" t="s">
        <v>78</v>
      </c>
      <c r="O198" s="2" t="s">
        <v>94</v>
      </c>
      <c r="P198" s="2" t="s">
        <v>81</v>
      </c>
      <c r="Q198" s="2" t="s">
        <v>60</v>
      </c>
      <c r="R198" s="5">
        <v>3.9298611111111112</v>
      </c>
      <c r="S198" s="2" t="s">
        <v>61</v>
      </c>
      <c r="T198" s="2" t="s">
        <v>62</v>
      </c>
    </row>
    <row r="199" spans="1:20" ht="22.8" customHeight="1" x14ac:dyDescent="0.3">
      <c r="A199" s="2" t="s">
        <v>901</v>
      </c>
      <c r="B199" s="2" t="s">
        <v>271</v>
      </c>
      <c r="C199" s="2" t="s">
        <v>272</v>
      </c>
      <c r="D199" s="3">
        <v>46184.448576388888</v>
      </c>
      <c r="E199" s="3">
        <v>46185.52684027778</v>
      </c>
      <c r="F199" s="2" t="s">
        <v>56</v>
      </c>
      <c r="G199" s="2">
        <v>2</v>
      </c>
      <c r="H199" s="2" t="s">
        <v>902</v>
      </c>
      <c r="I199" s="4" t="s">
        <v>903</v>
      </c>
      <c r="J199" s="2"/>
      <c r="K199" s="2" t="s">
        <v>67</v>
      </c>
      <c r="L199" s="2" t="s">
        <v>58</v>
      </c>
      <c r="M199" s="2"/>
      <c r="N199" s="2" t="s">
        <v>156</v>
      </c>
      <c r="O199" s="2" t="s">
        <v>153</v>
      </c>
      <c r="P199" s="2" t="s">
        <v>58</v>
      </c>
      <c r="Q199" s="2" t="s">
        <v>60</v>
      </c>
      <c r="R199" s="6">
        <v>0.51597222222222228</v>
      </c>
      <c r="S199" s="2" t="s">
        <v>61</v>
      </c>
      <c r="T199" s="2" t="s">
        <v>62</v>
      </c>
    </row>
    <row r="200" spans="1:20" ht="22.8" customHeight="1" x14ac:dyDescent="0.3">
      <c r="A200" s="2" t="s">
        <v>904</v>
      </c>
      <c r="B200" s="2" t="s">
        <v>905</v>
      </c>
      <c r="C200" s="2" t="s">
        <v>906</v>
      </c>
      <c r="D200" s="3">
        <v>46184.458634259259</v>
      </c>
      <c r="E200" s="3">
        <v>46191.517025462963</v>
      </c>
      <c r="F200" s="2" t="s">
        <v>56</v>
      </c>
      <c r="G200" s="2">
        <v>3</v>
      </c>
      <c r="H200" s="2" t="s">
        <v>57</v>
      </c>
      <c r="I200" s="4" t="s">
        <v>192</v>
      </c>
      <c r="J200" s="2"/>
      <c r="K200" s="2" t="s">
        <v>55</v>
      </c>
      <c r="L200" s="2" t="s">
        <v>58</v>
      </c>
      <c r="M200" s="2"/>
      <c r="N200" s="2" t="s">
        <v>58</v>
      </c>
      <c r="O200" s="2" t="s">
        <v>74</v>
      </c>
      <c r="P200" s="2" t="s">
        <v>58</v>
      </c>
      <c r="Q200" s="2" t="s">
        <v>60</v>
      </c>
      <c r="R200" s="5">
        <v>2.2465277777777777</v>
      </c>
      <c r="S200" s="2" t="s">
        <v>61</v>
      </c>
      <c r="T200" s="2" t="s">
        <v>62</v>
      </c>
    </row>
    <row r="201" spans="1:20" ht="22.8" customHeight="1" x14ac:dyDescent="0.3">
      <c r="A201" s="2" t="s">
        <v>907</v>
      </c>
      <c r="B201" s="2" t="s">
        <v>905</v>
      </c>
      <c r="C201" s="2" t="s">
        <v>906</v>
      </c>
      <c r="D201" s="3">
        <v>46184.458958333336</v>
      </c>
      <c r="E201" s="3">
        <v>46191.507488425923</v>
      </c>
      <c r="F201" s="2" t="s">
        <v>63</v>
      </c>
      <c r="G201" s="2">
        <v>3</v>
      </c>
      <c r="H201" s="2" t="s">
        <v>816</v>
      </c>
      <c r="I201" s="4" t="s">
        <v>264</v>
      </c>
      <c r="J201" s="2"/>
      <c r="K201" s="2" t="s">
        <v>55</v>
      </c>
      <c r="L201" s="2" t="s">
        <v>58</v>
      </c>
      <c r="M201" s="2"/>
      <c r="N201" s="2" t="s">
        <v>58</v>
      </c>
      <c r="O201" s="2" t="s">
        <v>161</v>
      </c>
      <c r="P201" s="2" t="s">
        <v>58</v>
      </c>
      <c r="Q201" s="2" t="s">
        <v>60</v>
      </c>
      <c r="R201" s="5">
        <v>2.3402777777777777</v>
      </c>
      <c r="S201" s="2" t="s">
        <v>61</v>
      </c>
      <c r="T201" s="2" t="s">
        <v>62</v>
      </c>
    </row>
    <row r="202" spans="1:20" ht="22.8" customHeight="1" x14ac:dyDescent="0.3">
      <c r="A202" s="2" t="s">
        <v>908</v>
      </c>
      <c r="B202" s="2" t="s">
        <v>909</v>
      </c>
      <c r="C202" s="2" t="s">
        <v>910</v>
      </c>
      <c r="D202" s="3">
        <v>46184.460162037038</v>
      </c>
      <c r="E202" s="3">
        <v>46185.585370370369</v>
      </c>
      <c r="F202" s="2" t="s">
        <v>56</v>
      </c>
      <c r="G202" s="2">
        <v>3</v>
      </c>
      <c r="H202" s="2" t="s">
        <v>57</v>
      </c>
      <c r="I202" s="4" t="s">
        <v>911</v>
      </c>
      <c r="J202" s="2"/>
      <c r="K202" s="2" t="s">
        <v>55</v>
      </c>
      <c r="L202" s="2" t="s">
        <v>58</v>
      </c>
      <c r="M202" s="2"/>
      <c r="N202" s="2" t="s">
        <v>58</v>
      </c>
      <c r="O202" s="2" t="s">
        <v>59</v>
      </c>
      <c r="P202" s="2" t="s">
        <v>58</v>
      </c>
      <c r="Q202" s="2" t="s">
        <v>60</v>
      </c>
      <c r="R202" s="6">
        <v>0.56319444444444444</v>
      </c>
      <c r="S202" s="2" t="s">
        <v>61</v>
      </c>
      <c r="T202" s="2" t="s">
        <v>62</v>
      </c>
    </row>
    <row r="203" spans="1:20" ht="22.8" customHeight="1" x14ac:dyDescent="0.3">
      <c r="A203" s="2" t="s">
        <v>912</v>
      </c>
      <c r="B203" s="2" t="s">
        <v>909</v>
      </c>
      <c r="C203" s="2" t="s">
        <v>910</v>
      </c>
      <c r="D203" s="3">
        <v>46184.460393518515</v>
      </c>
      <c r="E203" s="3">
        <v>46185.568287037036</v>
      </c>
      <c r="F203" s="2" t="s">
        <v>63</v>
      </c>
      <c r="G203" s="2">
        <v>3</v>
      </c>
      <c r="H203" s="2" t="s">
        <v>816</v>
      </c>
      <c r="I203" s="4" t="s">
        <v>913</v>
      </c>
      <c r="J203" s="2"/>
      <c r="K203" s="2" t="s">
        <v>55</v>
      </c>
      <c r="L203" s="2" t="s">
        <v>58</v>
      </c>
      <c r="M203" s="2"/>
      <c r="N203" s="2" t="s">
        <v>58</v>
      </c>
      <c r="O203" s="2" t="s">
        <v>74</v>
      </c>
      <c r="P203" s="2" t="s">
        <v>58</v>
      </c>
      <c r="Q203" s="2" t="s">
        <v>60</v>
      </c>
      <c r="R203" s="6">
        <v>0.56666666666666665</v>
      </c>
      <c r="S203" s="2" t="s">
        <v>61</v>
      </c>
      <c r="T203" s="2" t="s">
        <v>62</v>
      </c>
    </row>
    <row r="204" spans="1:20" ht="22.8" customHeight="1" x14ac:dyDescent="0.3">
      <c r="A204" s="2" t="s">
        <v>914</v>
      </c>
      <c r="B204" s="2" t="s">
        <v>915</v>
      </c>
      <c r="C204" s="2" t="s">
        <v>916</v>
      </c>
      <c r="D204" s="3">
        <v>46184.502824074072</v>
      </c>
      <c r="E204" s="3">
        <v>46184.726400462961</v>
      </c>
      <c r="F204" s="2" t="s">
        <v>93</v>
      </c>
      <c r="G204" s="2">
        <v>2</v>
      </c>
      <c r="H204" s="2" t="s">
        <v>917</v>
      </c>
      <c r="I204" s="4" t="s">
        <v>918</v>
      </c>
      <c r="J204" s="2"/>
      <c r="K204" s="2" t="s">
        <v>67</v>
      </c>
      <c r="L204" s="2" t="s">
        <v>78</v>
      </c>
      <c r="M204" s="2"/>
      <c r="N204" s="2" t="s">
        <v>79</v>
      </c>
      <c r="O204" s="2" t="s">
        <v>80</v>
      </c>
      <c r="P204" s="2" t="s">
        <v>78</v>
      </c>
      <c r="Q204" s="2" t="s">
        <v>60</v>
      </c>
      <c r="R204" s="6">
        <v>0.22361111111111112</v>
      </c>
      <c r="S204" s="2" t="s">
        <v>61</v>
      </c>
      <c r="T204" s="2" t="s">
        <v>62</v>
      </c>
    </row>
    <row r="205" spans="1:20" ht="22.8" customHeight="1" x14ac:dyDescent="0.3">
      <c r="A205" s="2" t="s">
        <v>919</v>
      </c>
      <c r="B205" s="2" t="s">
        <v>167</v>
      </c>
      <c r="C205" s="2" t="s">
        <v>168</v>
      </c>
      <c r="D205" s="3">
        <v>46184.562303240738</v>
      </c>
      <c r="E205" s="3">
        <v>46185.474432870367</v>
      </c>
      <c r="F205" s="2" t="s">
        <v>70</v>
      </c>
      <c r="G205" s="2">
        <v>3</v>
      </c>
      <c r="H205" s="2" t="s">
        <v>920</v>
      </c>
      <c r="I205" s="4" t="s">
        <v>921</v>
      </c>
      <c r="J205" s="2"/>
      <c r="K205" s="2" t="s">
        <v>55</v>
      </c>
      <c r="L205" s="2" t="s">
        <v>71</v>
      </c>
      <c r="M205" s="2"/>
      <c r="N205" s="2" t="s">
        <v>71</v>
      </c>
      <c r="O205" s="2" t="s">
        <v>200</v>
      </c>
      <c r="P205" s="2" t="s">
        <v>71</v>
      </c>
      <c r="Q205" s="2" t="s">
        <v>60</v>
      </c>
      <c r="R205" s="6">
        <v>0.35</v>
      </c>
      <c r="S205" s="2" t="s">
        <v>61</v>
      </c>
      <c r="T205" s="2" t="s">
        <v>62</v>
      </c>
    </row>
    <row r="206" spans="1:20" ht="22.8" customHeight="1" x14ac:dyDescent="0.3">
      <c r="A206" s="2" t="s">
        <v>922</v>
      </c>
      <c r="B206" s="2" t="s">
        <v>923</v>
      </c>
      <c r="C206" s="2" t="s">
        <v>924</v>
      </c>
      <c r="D206" s="3">
        <v>46184.702210648145</v>
      </c>
      <c r="E206" s="3">
        <v>46202.565868055557</v>
      </c>
      <c r="F206" s="2" t="s">
        <v>77</v>
      </c>
      <c r="G206" s="2">
        <v>3</v>
      </c>
      <c r="H206" s="2" t="s">
        <v>925</v>
      </c>
      <c r="I206" s="4" t="s">
        <v>926</v>
      </c>
      <c r="J206" s="2"/>
      <c r="K206" s="2" t="s">
        <v>67</v>
      </c>
      <c r="L206" s="2" t="s">
        <v>78</v>
      </c>
      <c r="M206" s="2"/>
      <c r="N206" s="2" t="s">
        <v>79</v>
      </c>
      <c r="O206" s="2" t="s">
        <v>80</v>
      </c>
      <c r="P206" s="2" t="s">
        <v>78</v>
      </c>
      <c r="Q206" s="2" t="s">
        <v>60</v>
      </c>
      <c r="R206" s="5">
        <v>5.1138888888888889</v>
      </c>
      <c r="S206" s="2" t="s">
        <v>108</v>
      </c>
      <c r="T206" s="2" t="s">
        <v>62</v>
      </c>
    </row>
    <row r="207" spans="1:20" ht="22.8" customHeight="1" x14ac:dyDescent="0.3">
      <c r="A207" s="2" t="s">
        <v>927</v>
      </c>
      <c r="B207" s="2" t="s">
        <v>626</v>
      </c>
      <c r="C207" s="2" t="s">
        <v>627</v>
      </c>
      <c r="D207" s="3">
        <v>46185.348379629628</v>
      </c>
      <c r="E207" s="3">
        <v>46188.401053240741</v>
      </c>
      <c r="F207" s="2" t="s">
        <v>77</v>
      </c>
      <c r="G207" s="2">
        <v>2</v>
      </c>
      <c r="H207" s="2" t="s">
        <v>928</v>
      </c>
      <c r="I207" s="4" t="s">
        <v>929</v>
      </c>
      <c r="J207" s="2"/>
      <c r="K207" s="2" t="s">
        <v>67</v>
      </c>
      <c r="L207" s="2" t="s">
        <v>78</v>
      </c>
      <c r="M207" s="2"/>
      <c r="N207" s="2" t="s">
        <v>79</v>
      </c>
      <c r="O207" s="2" t="s">
        <v>80</v>
      </c>
      <c r="P207" s="2" t="s">
        <v>78</v>
      </c>
      <c r="Q207" s="2" t="s">
        <v>60</v>
      </c>
      <c r="R207" s="6">
        <v>0.49027777777777776</v>
      </c>
      <c r="S207" s="2" t="s">
        <v>61</v>
      </c>
      <c r="T207" s="2" t="s">
        <v>62</v>
      </c>
    </row>
    <row r="208" spans="1:20" ht="22.8" customHeight="1" x14ac:dyDescent="0.3">
      <c r="A208" s="2" t="s">
        <v>930</v>
      </c>
      <c r="B208" s="2" t="s">
        <v>931</v>
      </c>
      <c r="C208" s="2" t="s">
        <v>932</v>
      </c>
      <c r="D208" s="3">
        <v>46185.408854166664</v>
      </c>
      <c r="E208" s="3">
        <v>46189.441840277781</v>
      </c>
      <c r="F208" s="2" t="s">
        <v>97</v>
      </c>
      <c r="G208" s="2">
        <v>2</v>
      </c>
      <c r="H208" s="2" t="s">
        <v>933</v>
      </c>
      <c r="I208" s="2"/>
      <c r="J208" s="2"/>
      <c r="K208" s="2" t="s">
        <v>67</v>
      </c>
      <c r="L208" s="2" t="s">
        <v>105</v>
      </c>
      <c r="M208" s="2"/>
      <c r="N208" s="2" t="s">
        <v>98</v>
      </c>
      <c r="O208" s="2" t="s">
        <v>106</v>
      </c>
      <c r="P208" s="2" t="s">
        <v>105</v>
      </c>
      <c r="Q208" s="2" t="s">
        <v>60</v>
      </c>
      <c r="R208" s="6">
        <v>0.90486111111111112</v>
      </c>
      <c r="S208" s="2" t="s">
        <v>61</v>
      </c>
      <c r="T208" s="2" t="s">
        <v>62</v>
      </c>
    </row>
    <row r="209" spans="1:20" ht="22.8" customHeight="1" x14ac:dyDescent="0.3">
      <c r="A209" s="2" t="s">
        <v>938</v>
      </c>
      <c r="B209" s="2" t="s">
        <v>894</v>
      </c>
      <c r="C209" s="2" t="s">
        <v>895</v>
      </c>
      <c r="D209" s="3">
        <v>46185.44568287037</v>
      </c>
      <c r="E209" s="3">
        <v>46185.505393518521</v>
      </c>
      <c r="F209" s="2" t="s">
        <v>939</v>
      </c>
      <c r="G209" s="2">
        <v>3</v>
      </c>
      <c r="H209" s="4" t="s">
        <v>940</v>
      </c>
      <c r="I209" s="4" t="s">
        <v>941</v>
      </c>
      <c r="J209" s="2"/>
      <c r="K209" s="2" t="s">
        <v>55</v>
      </c>
      <c r="L209" s="2" t="s">
        <v>137</v>
      </c>
      <c r="M209" s="2"/>
      <c r="N209" s="2" t="s">
        <v>91</v>
      </c>
      <c r="O209" s="2" t="s">
        <v>138</v>
      </c>
      <c r="P209" s="2" t="s">
        <v>137</v>
      </c>
      <c r="Q209" s="2" t="s">
        <v>60</v>
      </c>
      <c r="R209" s="6">
        <v>5.9722222222222225E-2</v>
      </c>
      <c r="S209" s="2" t="s">
        <v>61</v>
      </c>
      <c r="T209" s="2" t="s">
        <v>62</v>
      </c>
    </row>
    <row r="210" spans="1:20" ht="22.8" customHeight="1" x14ac:dyDescent="0.3">
      <c r="A210" s="2" t="s">
        <v>942</v>
      </c>
      <c r="B210" s="2" t="s">
        <v>788</v>
      </c>
      <c r="C210" s="2" t="s">
        <v>789</v>
      </c>
      <c r="D210" s="3">
        <v>46185.474270833336</v>
      </c>
      <c r="E210" s="3">
        <v>46190.631863425922</v>
      </c>
      <c r="F210" s="2" t="s">
        <v>63</v>
      </c>
      <c r="G210" s="2">
        <v>3</v>
      </c>
      <c r="H210" s="2" t="s">
        <v>943</v>
      </c>
      <c r="I210" s="4" t="s">
        <v>944</v>
      </c>
      <c r="J210" s="2"/>
      <c r="K210" s="2" t="s">
        <v>55</v>
      </c>
      <c r="L210" s="2" t="s">
        <v>58</v>
      </c>
      <c r="M210" s="2"/>
      <c r="N210" s="2" t="s">
        <v>58</v>
      </c>
      <c r="O210" s="2" t="s">
        <v>74</v>
      </c>
      <c r="P210" s="2" t="s">
        <v>58</v>
      </c>
      <c r="Q210" s="2" t="s">
        <v>60</v>
      </c>
      <c r="R210" s="5">
        <v>1.5326388888888889</v>
      </c>
      <c r="S210" s="2" t="s">
        <v>61</v>
      </c>
      <c r="T210" s="2" t="s">
        <v>62</v>
      </c>
    </row>
    <row r="211" spans="1:20" ht="22.8" customHeight="1" x14ac:dyDescent="0.3">
      <c r="A211" s="2" t="s">
        <v>945</v>
      </c>
      <c r="B211" s="2" t="s">
        <v>786</v>
      </c>
      <c r="C211" s="2" t="s">
        <v>787</v>
      </c>
      <c r="D211" s="3">
        <v>46185.47515046296</v>
      </c>
      <c r="E211" s="3">
        <v>46190.632430555554</v>
      </c>
      <c r="F211" s="2" t="s">
        <v>63</v>
      </c>
      <c r="G211" s="2">
        <v>3</v>
      </c>
      <c r="H211" s="2" t="s">
        <v>943</v>
      </c>
      <c r="I211" s="4" t="s">
        <v>780</v>
      </c>
      <c r="J211" s="2"/>
      <c r="K211" s="2" t="s">
        <v>55</v>
      </c>
      <c r="L211" s="2" t="s">
        <v>58</v>
      </c>
      <c r="M211" s="2"/>
      <c r="N211" s="2" t="s">
        <v>58</v>
      </c>
      <c r="O211" s="2" t="s">
        <v>74</v>
      </c>
      <c r="P211" s="2" t="s">
        <v>58</v>
      </c>
      <c r="Q211" s="2" t="s">
        <v>60</v>
      </c>
      <c r="R211" s="5">
        <v>1.5326388888888889</v>
      </c>
      <c r="S211" s="2" t="s">
        <v>61</v>
      </c>
      <c r="T211" s="2" t="s">
        <v>62</v>
      </c>
    </row>
    <row r="212" spans="1:20" ht="22.8" customHeight="1" x14ac:dyDescent="0.3">
      <c r="A212" s="2" t="s">
        <v>950</v>
      </c>
      <c r="B212" s="2" t="s">
        <v>947</v>
      </c>
      <c r="C212" s="2" t="s">
        <v>948</v>
      </c>
      <c r="D212" s="3">
        <v>46185.49423611111</v>
      </c>
      <c r="E212" s="3">
        <v>46188.449432870373</v>
      </c>
      <c r="F212" s="2" t="s">
        <v>56</v>
      </c>
      <c r="G212" s="2">
        <v>3</v>
      </c>
      <c r="H212" s="2" t="s">
        <v>57</v>
      </c>
      <c r="I212" s="4" t="s">
        <v>192</v>
      </c>
      <c r="J212" s="2"/>
      <c r="K212" s="2" t="s">
        <v>67</v>
      </c>
      <c r="L212" s="2" t="s">
        <v>58</v>
      </c>
      <c r="M212" s="2"/>
      <c r="N212" s="2" t="s">
        <v>58</v>
      </c>
      <c r="O212" s="2" t="s">
        <v>74</v>
      </c>
      <c r="P212" s="2" t="s">
        <v>58</v>
      </c>
      <c r="Q212" s="2" t="s">
        <v>60</v>
      </c>
      <c r="R212" s="6">
        <v>0.39305555555555555</v>
      </c>
      <c r="S212" s="2" t="s">
        <v>61</v>
      </c>
      <c r="T212" s="2" t="s">
        <v>62</v>
      </c>
    </row>
    <row r="213" spans="1:20" ht="22.8" customHeight="1" x14ac:dyDescent="0.3">
      <c r="A213" s="2" t="s">
        <v>951</v>
      </c>
      <c r="B213" s="2" t="s">
        <v>680</v>
      </c>
      <c r="C213" s="2" t="s">
        <v>681</v>
      </c>
      <c r="D213" s="3">
        <v>46185.496354166666</v>
      </c>
      <c r="E213" s="3">
        <v>46189.334629629629</v>
      </c>
      <c r="F213" s="2" t="s">
        <v>165</v>
      </c>
      <c r="G213" s="2">
        <v>2</v>
      </c>
      <c r="H213" s="2" t="s">
        <v>166</v>
      </c>
      <c r="I213" s="4" t="s">
        <v>952</v>
      </c>
      <c r="J213" s="2"/>
      <c r="K213" s="2" t="s">
        <v>76</v>
      </c>
      <c r="L213" s="2" t="s">
        <v>58</v>
      </c>
      <c r="M213" s="2"/>
      <c r="N213" s="2" t="s">
        <v>58</v>
      </c>
      <c r="O213" s="2" t="s">
        <v>74</v>
      </c>
      <c r="P213" s="2" t="s">
        <v>58</v>
      </c>
      <c r="Q213" s="2" t="s">
        <v>60</v>
      </c>
      <c r="R213" s="6">
        <v>0.71250000000000002</v>
      </c>
      <c r="S213" s="2" t="s">
        <v>61</v>
      </c>
      <c r="T213" s="2" t="s">
        <v>62</v>
      </c>
    </row>
    <row r="214" spans="1:20" ht="22.8" customHeight="1" x14ac:dyDescent="0.3">
      <c r="A214" s="2" t="s">
        <v>953</v>
      </c>
      <c r="B214" s="2" t="s">
        <v>680</v>
      </c>
      <c r="C214" s="2" t="s">
        <v>681</v>
      </c>
      <c r="D214" s="3">
        <v>46185.501296296294</v>
      </c>
      <c r="E214" s="3">
        <v>46197.454201388886</v>
      </c>
      <c r="F214" s="2" t="s">
        <v>176</v>
      </c>
      <c r="G214" s="2">
        <v>2</v>
      </c>
      <c r="H214" s="2" t="s">
        <v>177</v>
      </c>
      <c r="I214" s="4" t="s">
        <v>115</v>
      </c>
      <c r="J214" s="2"/>
      <c r="K214" s="2" t="s">
        <v>76</v>
      </c>
      <c r="L214" s="2" t="s">
        <v>81</v>
      </c>
      <c r="M214" s="2"/>
      <c r="N214" s="2" t="s">
        <v>81</v>
      </c>
      <c r="O214" s="2" t="s">
        <v>89</v>
      </c>
      <c r="P214" s="2" t="s">
        <v>81</v>
      </c>
      <c r="Q214" s="2" t="s">
        <v>60</v>
      </c>
      <c r="R214" s="5">
        <v>3.4534722222222221</v>
      </c>
      <c r="S214" s="2" t="s">
        <v>61</v>
      </c>
      <c r="T214" s="2" t="s">
        <v>62</v>
      </c>
    </row>
    <row r="215" spans="1:20" ht="22.8" customHeight="1" x14ac:dyDescent="0.3">
      <c r="A215" s="2" t="s">
        <v>954</v>
      </c>
      <c r="B215" s="2" t="s">
        <v>955</v>
      </c>
      <c r="C215" s="2" t="s">
        <v>956</v>
      </c>
      <c r="D215" s="3">
        <v>46185.501458333332</v>
      </c>
      <c r="E215" s="3">
        <v>46190.602314814816</v>
      </c>
      <c r="F215" s="2" t="s">
        <v>123</v>
      </c>
      <c r="G215" s="2">
        <v>2</v>
      </c>
      <c r="H215" s="2" t="s">
        <v>131</v>
      </c>
      <c r="I215" s="4" t="s">
        <v>957</v>
      </c>
      <c r="J215" s="2"/>
      <c r="K215" s="2" t="s">
        <v>76</v>
      </c>
      <c r="L215" s="2" t="s">
        <v>81</v>
      </c>
      <c r="M215" s="2"/>
      <c r="N215" s="2" t="s">
        <v>81</v>
      </c>
      <c r="O215" s="2" t="s">
        <v>89</v>
      </c>
      <c r="P215" s="2" t="s">
        <v>81</v>
      </c>
      <c r="Q215" s="2" t="s">
        <v>60</v>
      </c>
      <c r="R215" s="5">
        <v>1.4111111111111112</v>
      </c>
      <c r="S215" s="2" t="s">
        <v>61</v>
      </c>
      <c r="T215" s="2" t="s">
        <v>62</v>
      </c>
    </row>
    <row r="216" spans="1:20" ht="22.8" customHeight="1" x14ac:dyDescent="0.3">
      <c r="A216" s="2" t="s">
        <v>958</v>
      </c>
      <c r="B216" s="2" t="s">
        <v>959</v>
      </c>
      <c r="C216" s="2" t="s">
        <v>960</v>
      </c>
      <c r="D216" s="3">
        <v>46185.55027777778</v>
      </c>
      <c r="E216" s="3">
        <v>46190.380173611113</v>
      </c>
      <c r="F216" s="2" t="s">
        <v>73</v>
      </c>
      <c r="G216" s="2">
        <v>2</v>
      </c>
      <c r="H216" s="2" t="s">
        <v>961</v>
      </c>
      <c r="I216" s="4" t="s">
        <v>962</v>
      </c>
      <c r="J216" s="2"/>
      <c r="K216" s="2" t="s">
        <v>76</v>
      </c>
      <c r="L216" s="2" t="s">
        <v>58</v>
      </c>
      <c r="M216" s="2"/>
      <c r="N216" s="2" t="s">
        <v>58</v>
      </c>
      <c r="O216" s="2" t="s">
        <v>74</v>
      </c>
      <c r="P216" s="2" t="s">
        <v>58</v>
      </c>
      <c r="Q216" s="2" t="s">
        <v>60</v>
      </c>
      <c r="R216" s="5">
        <v>1.1430555555555555</v>
      </c>
      <c r="S216" s="2" t="s">
        <v>61</v>
      </c>
      <c r="T216" s="2" t="s">
        <v>62</v>
      </c>
    </row>
    <row r="217" spans="1:20" ht="22.8" customHeight="1" x14ac:dyDescent="0.3">
      <c r="A217" s="2" t="s">
        <v>963</v>
      </c>
      <c r="B217" s="2" t="s">
        <v>909</v>
      </c>
      <c r="C217" s="2" t="s">
        <v>910</v>
      </c>
      <c r="D217" s="3">
        <v>46185.579768518517</v>
      </c>
      <c r="E217" s="3">
        <v>46190.487372685187</v>
      </c>
      <c r="F217" s="2" t="s">
        <v>63</v>
      </c>
      <c r="G217" s="2">
        <v>3</v>
      </c>
      <c r="H217" s="2" t="s">
        <v>943</v>
      </c>
      <c r="I217" s="4" t="s">
        <v>944</v>
      </c>
      <c r="J217" s="2"/>
      <c r="K217" s="2" t="s">
        <v>55</v>
      </c>
      <c r="L217" s="2" t="s">
        <v>58</v>
      </c>
      <c r="M217" s="2"/>
      <c r="N217" s="2" t="s">
        <v>58</v>
      </c>
      <c r="O217" s="2" t="s">
        <v>74</v>
      </c>
      <c r="P217" s="2" t="s">
        <v>58</v>
      </c>
      <c r="Q217" s="2" t="s">
        <v>60</v>
      </c>
      <c r="R217" s="5">
        <v>1.2826388888888889</v>
      </c>
      <c r="S217" s="2" t="s">
        <v>61</v>
      </c>
      <c r="T217" s="2" t="s">
        <v>62</v>
      </c>
    </row>
    <row r="218" spans="1:20" ht="22.8" customHeight="1" x14ac:dyDescent="0.3">
      <c r="A218" s="2" t="s">
        <v>967</v>
      </c>
      <c r="B218" s="2" t="s">
        <v>968</v>
      </c>
      <c r="C218" s="2" t="s">
        <v>969</v>
      </c>
      <c r="D218" s="3">
        <v>46185.663599537038</v>
      </c>
      <c r="E218" s="3">
        <v>46188.362430555557</v>
      </c>
      <c r="F218" s="2" t="s">
        <v>56</v>
      </c>
      <c r="G218" s="2">
        <v>3</v>
      </c>
      <c r="H218" s="2" t="s">
        <v>57</v>
      </c>
      <c r="I218" s="4" t="s">
        <v>192</v>
      </c>
      <c r="J218" s="2"/>
      <c r="K218" s="2" t="s">
        <v>76</v>
      </c>
      <c r="L218" s="2" t="s">
        <v>58</v>
      </c>
      <c r="M218" s="2"/>
      <c r="N218" s="2" t="s">
        <v>58</v>
      </c>
      <c r="O218" s="2" t="s">
        <v>74</v>
      </c>
      <c r="P218" s="2" t="s">
        <v>58</v>
      </c>
      <c r="Q218" s="2" t="s">
        <v>60</v>
      </c>
      <c r="R218" s="6">
        <v>0.13680555555555557</v>
      </c>
      <c r="S218" s="2" t="s">
        <v>61</v>
      </c>
      <c r="T218" s="2" t="s">
        <v>62</v>
      </c>
    </row>
    <row r="219" spans="1:20" ht="22.8" customHeight="1" x14ac:dyDescent="0.3">
      <c r="A219" s="2" t="s">
        <v>970</v>
      </c>
      <c r="B219" s="2" t="s">
        <v>968</v>
      </c>
      <c r="C219" s="2" t="s">
        <v>969</v>
      </c>
      <c r="D219" s="3">
        <v>46185.663831018515</v>
      </c>
      <c r="E219" s="3">
        <v>46190.452164351853</v>
      </c>
      <c r="F219" s="2" t="s">
        <v>63</v>
      </c>
      <c r="G219" s="2">
        <v>3</v>
      </c>
      <c r="H219" s="2" t="s">
        <v>971</v>
      </c>
      <c r="I219" s="4" t="s">
        <v>972</v>
      </c>
      <c r="J219" s="2"/>
      <c r="K219" s="2" t="s">
        <v>76</v>
      </c>
      <c r="L219" s="2" t="s">
        <v>58</v>
      </c>
      <c r="M219" s="2"/>
      <c r="N219" s="2" t="s">
        <v>58</v>
      </c>
      <c r="O219" s="2" t="s">
        <v>74</v>
      </c>
      <c r="P219" s="2" t="s">
        <v>58</v>
      </c>
      <c r="Q219" s="2" t="s">
        <v>60</v>
      </c>
      <c r="R219" s="5">
        <v>1.163888888888889</v>
      </c>
      <c r="S219" s="2" t="s">
        <v>61</v>
      </c>
      <c r="T219" s="2" t="s">
        <v>62</v>
      </c>
    </row>
    <row r="220" spans="1:20" ht="22.8" customHeight="1" x14ac:dyDescent="0.3">
      <c r="A220" s="2" t="s">
        <v>973</v>
      </c>
      <c r="B220" s="2" t="s">
        <v>167</v>
      </c>
      <c r="C220" s="2" t="s">
        <v>168</v>
      </c>
      <c r="D220" s="3">
        <v>46185.706689814811</v>
      </c>
      <c r="E220" s="3">
        <v>46188.641932870371</v>
      </c>
      <c r="F220" s="2" t="s">
        <v>218</v>
      </c>
      <c r="G220" s="2">
        <v>3</v>
      </c>
      <c r="H220" s="2" t="s">
        <v>974</v>
      </c>
      <c r="I220" s="2"/>
      <c r="J220" s="2"/>
      <c r="K220" s="2" t="s">
        <v>55</v>
      </c>
      <c r="L220" s="2" t="s">
        <v>71</v>
      </c>
      <c r="M220" s="2"/>
      <c r="N220" s="2" t="s">
        <v>71</v>
      </c>
      <c r="O220" s="2" t="s">
        <v>104</v>
      </c>
      <c r="P220" s="2" t="s">
        <v>71</v>
      </c>
      <c r="Q220" s="2" t="s">
        <v>60</v>
      </c>
      <c r="R220" s="6">
        <v>0.37291666666666667</v>
      </c>
      <c r="S220" s="2" t="s">
        <v>61</v>
      </c>
      <c r="T220" s="2" t="s">
        <v>62</v>
      </c>
    </row>
    <row r="221" spans="1:20" ht="22.8" customHeight="1" x14ac:dyDescent="0.3">
      <c r="A221" s="2" t="s">
        <v>975</v>
      </c>
      <c r="B221" s="2" t="s">
        <v>167</v>
      </c>
      <c r="C221" s="2" t="s">
        <v>168</v>
      </c>
      <c r="D221" s="3">
        <v>46185.711168981485</v>
      </c>
      <c r="E221" s="3">
        <v>46188.641400462962</v>
      </c>
      <c r="F221" s="2" t="s">
        <v>218</v>
      </c>
      <c r="G221" s="2">
        <v>3</v>
      </c>
      <c r="H221" s="2" t="s">
        <v>976</v>
      </c>
      <c r="I221" s="2"/>
      <c r="J221" s="2"/>
      <c r="K221" s="2" t="s">
        <v>55</v>
      </c>
      <c r="L221" s="2" t="s">
        <v>71</v>
      </c>
      <c r="M221" s="2"/>
      <c r="N221" s="2" t="s">
        <v>71</v>
      </c>
      <c r="O221" s="2" t="s">
        <v>104</v>
      </c>
      <c r="P221" s="2" t="s">
        <v>71</v>
      </c>
      <c r="Q221" s="2" t="s">
        <v>60</v>
      </c>
      <c r="R221" s="6">
        <v>0.36805555555555558</v>
      </c>
      <c r="S221" s="2" t="s">
        <v>61</v>
      </c>
      <c r="T221" s="2" t="s">
        <v>62</v>
      </c>
    </row>
    <row r="222" spans="1:20" ht="22.8" customHeight="1" x14ac:dyDescent="0.3">
      <c r="A222" s="2" t="s">
        <v>980</v>
      </c>
      <c r="B222" s="2" t="s">
        <v>167</v>
      </c>
      <c r="C222" s="2" t="s">
        <v>168</v>
      </c>
      <c r="D222" s="3">
        <v>46185.713923611111</v>
      </c>
      <c r="E222" s="3">
        <v>46197.352997685186</v>
      </c>
      <c r="F222" s="2" t="s">
        <v>97</v>
      </c>
      <c r="G222" s="2">
        <v>3</v>
      </c>
      <c r="H222" s="2" t="s">
        <v>981</v>
      </c>
      <c r="I222" s="2"/>
      <c r="J222" s="2"/>
      <c r="K222" s="2" t="s">
        <v>55</v>
      </c>
      <c r="L222" s="2" t="s">
        <v>105</v>
      </c>
      <c r="M222" s="2"/>
      <c r="N222" s="2" t="s">
        <v>98</v>
      </c>
      <c r="O222" s="2" t="s">
        <v>664</v>
      </c>
      <c r="P222" s="2" t="s">
        <v>105</v>
      </c>
      <c r="Q222" s="2" t="s">
        <v>60</v>
      </c>
      <c r="R222" s="6">
        <v>0.63680555555555551</v>
      </c>
      <c r="S222" s="2" t="s">
        <v>61</v>
      </c>
      <c r="T222" s="2" t="s">
        <v>62</v>
      </c>
    </row>
    <row r="223" spans="1:20" ht="22.8" customHeight="1" x14ac:dyDescent="0.3">
      <c r="A223" s="2" t="s">
        <v>982</v>
      </c>
      <c r="B223" s="2" t="s">
        <v>167</v>
      </c>
      <c r="C223" s="2" t="s">
        <v>168</v>
      </c>
      <c r="D223" s="3">
        <v>46185.719664351855</v>
      </c>
      <c r="E223" s="3">
        <v>46198.385891203703</v>
      </c>
      <c r="F223" s="2" t="s">
        <v>97</v>
      </c>
      <c r="G223" s="2">
        <v>3</v>
      </c>
      <c r="H223" s="2" t="s">
        <v>983</v>
      </c>
      <c r="I223" s="2"/>
      <c r="J223" s="2"/>
      <c r="K223" s="2" t="s">
        <v>55</v>
      </c>
      <c r="L223" s="2" t="s">
        <v>105</v>
      </c>
      <c r="M223" s="2"/>
      <c r="N223" s="2" t="s">
        <v>98</v>
      </c>
      <c r="O223" s="2" t="s">
        <v>664</v>
      </c>
      <c r="P223" s="2" t="s">
        <v>105</v>
      </c>
      <c r="Q223" s="2" t="s">
        <v>60</v>
      </c>
      <c r="R223" s="5">
        <v>1.1027777777777779</v>
      </c>
      <c r="S223" s="2" t="s">
        <v>61</v>
      </c>
      <c r="T223" s="2" t="s">
        <v>62</v>
      </c>
    </row>
    <row r="224" spans="1:20" ht="22.8" customHeight="1" x14ac:dyDescent="0.3">
      <c r="A224" s="2" t="s">
        <v>984</v>
      </c>
      <c r="B224" s="2" t="s">
        <v>271</v>
      </c>
      <c r="C224" s="2" t="s">
        <v>272</v>
      </c>
      <c r="D224" s="3">
        <v>46188.392939814818</v>
      </c>
      <c r="E224" s="3">
        <v>46195.359155092592</v>
      </c>
      <c r="F224" s="2" t="s">
        <v>93</v>
      </c>
      <c r="G224" s="2">
        <v>3</v>
      </c>
      <c r="H224" s="2" t="s">
        <v>985</v>
      </c>
      <c r="I224" s="4" t="s">
        <v>986</v>
      </c>
      <c r="J224" s="2"/>
      <c r="K224" s="2" t="s">
        <v>67</v>
      </c>
      <c r="L224" s="2" t="s">
        <v>78</v>
      </c>
      <c r="M224" s="2"/>
      <c r="N224" s="2" t="s">
        <v>79</v>
      </c>
      <c r="O224" s="2" t="s">
        <v>80</v>
      </c>
      <c r="P224" s="2" t="s">
        <v>78</v>
      </c>
      <c r="Q224" s="2" t="s">
        <v>60</v>
      </c>
      <c r="R224" s="6">
        <v>4.027777777777778E-2</v>
      </c>
      <c r="S224" s="2" t="s">
        <v>61</v>
      </c>
      <c r="T224" s="2" t="s">
        <v>62</v>
      </c>
    </row>
    <row r="225" spans="1:20" ht="22.8" customHeight="1" x14ac:dyDescent="0.3">
      <c r="A225" s="2" t="s">
        <v>987</v>
      </c>
      <c r="B225" s="2" t="s">
        <v>302</v>
      </c>
      <c r="C225" s="2" t="s">
        <v>303</v>
      </c>
      <c r="D225" s="3">
        <v>46188.416006944448</v>
      </c>
      <c r="E225" s="3">
        <v>46188.490312499998</v>
      </c>
      <c r="F225" s="2" t="s">
        <v>95</v>
      </c>
      <c r="G225" s="2">
        <v>3</v>
      </c>
      <c r="H225" s="2" t="s">
        <v>96</v>
      </c>
      <c r="I225" s="4" t="s">
        <v>988</v>
      </c>
      <c r="J225" s="2"/>
      <c r="K225" s="2" t="s">
        <v>55</v>
      </c>
      <c r="L225" s="2" t="s">
        <v>137</v>
      </c>
      <c r="M225" s="2"/>
      <c r="N225" s="2" t="s">
        <v>137</v>
      </c>
      <c r="O225" s="2" t="s">
        <v>138</v>
      </c>
      <c r="P225" s="2" t="s">
        <v>137</v>
      </c>
      <c r="Q225" s="2" t="s">
        <v>60</v>
      </c>
      <c r="R225" s="6">
        <v>7.4305555555555555E-2</v>
      </c>
      <c r="S225" s="2" t="s">
        <v>61</v>
      </c>
      <c r="T225" s="2" t="s">
        <v>62</v>
      </c>
    </row>
    <row r="226" spans="1:20" ht="22.8" customHeight="1" x14ac:dyDescent="0.3">
      <c r="A226" s="2" t="s">
        <v>989</v>
      </c>
      <c r="B226" s="2" t="s">
        <v>882</v>
      </c>
      <c r="C226" s="2" t="s">
        <v>883</v>
      </c>
      <c r="D226" s="3">
        <v>46188.437337962961</v>
      </c>
      <c r="E226" s="3">
        <v>46196.48605324074</v>
      </c>
      <c r="F226" s="2" t="s">
        <v>88</v>
      </c>
      <c r="G226" s="2">
        <v>2</v>
      </c>
      <c r="H226" s="2" t="s">
        <v>990</v>
      </c>
      <c r="I226" s="4" t="s">
        <v>991</v>
      </c>
      <c r="J226" s="2"/>
      <c r="K226" s="2" t="s">
        <v>76</v>
      </c>
      <c r="L226" s="2" t="s">
        <v>81</v>
      </c>
      <c r="M226" s="2"/>
      <c r="N226" s="2" t="s">
        <v>81</v>
      </c>
      <c r="O226" s="2" t="s">
        <v>89</v>
      </c>
      <c r="P226" s="2" t="s">
        <v>81</v>
      </c>
      <c r="Q226" s="2" t="s">
        <v>60</v>
      </c>
      <c r="R226" s="5">
        <v>2.6743055555555557</v>
      </c>
      <c r="S226" s="2" t="s">
        <v>61</v>
      </c>
      <c r="T226" s="2" t="s">
        <v>62</v>
      </c>
    </row>
    <row r="227" spans="1:20" ht="22.8" customHeight="1" x14ac:dyDescent="0.3">
      <c r="A227" s="2" t="s">
        <v>994</v>
      </c>
      <c r="B227" s="2" t="s">
        <v>992</v>
      </c>
      <c r="C227" s="2" t="s">
        <v>993</v>
      </c>
      <c r="D227" s="3">
        <v>46188.462638888886</v>
      </c>
      <c r="E227" s="3">
        <v>46188.481273148151</v>
      </c>
      <c r="F227" s="2" t="s">
        <v>56</v>
      </c>
      <c r="G227" s="2">
        <v>3</v>
      </c>
      <c r="H227" s="2" t="s">
        <v>57</v>
      </c>
      <c r="I227" s="4" t="s">
        <v>192</v>
      </c>
      <c r="J227" s="2"/>
      <c r="K227" s="2" t="s">
        <v>76</v>
      </c>
      <c r="L227" s="2" t="s">
        <v>58</v>
      </c>
      <c r="M227" s="2"/>
      <c r="N227" s="2" t="s">
        <v>58</v>
      </c>
      <c r="O227" s="2" t="s">
        <v>74</v>
      </c>
      <c r="P227" s="2" t="s">
        <v>58</v>
      </c>
      <c r="Q227" s="2" t="s">
        <v>60</v>
      </c>
      <c r="R227" s="6">
        <v>1.8749999999999999E-2</v>
      </c>
      <c r="S227" s="2" t="s">
        <v>61</v>
      </c>
      <c r="T227" s="2" t="s">
        <v>62</v>
      </c>
    </row>
    <row r="228" spans="1:20" ht="22.8" customHeight="1" x14ac:dyDescent="0.3">
      <c r="A228" s="2" t="s">
        <v>995</v>
      </c>
      <c r="B228" s="2" t="s">
        <v>992</v>
      </c>
      <c r="C228" s="2" t="s">
        <v>993</v>
      </c>
      <c r="D228" s="3">
        <v>46188.462905092594</v>
      </c>
      <c r="E228" s="3">
        <v>46188.591574074075</v>
      </c>
      <c r="F228" s="2" t="s">
        <v>63</v>
      </c>
      <c r="G228" s="2">
        <v>3</v>
      </c>
      <c r="H228" s="2" t="s">
        <v>971</v>
      </c>
      <c r="I228" s="4" t="s">
        <v>389</v>
      </c>
      <c r="J228" s="2"/>
      <c r="K228" s="2" t="s">
        <v>76</v>
      </c>
      <c r="L228" s="2" t="s">
        <v>58</v>
      </c>
      <c r="M228" s="2"/>
      <c r="N228" s="2" t="s">
        <v>58</v>
      </c>
      <c r="O228" s="2" t="s">
        <v>74</v>
      </c>
      <c r="P228" s="2" t="s">
        <v>58</v>
      </c>
      <c r="Q228" s="2" t="s">
        <v>60</v>
      </c>
      <c r="R228" s="6">
        <v>0.12916666666666668</v>
      </c>
      <c r="S228" s="2" t="s">
        <v>61</v>
      </c>
      <c r="T228" s="2" t="s">
        <v>62</v>
      </c>
    </row>
    <row r="229" spans="1:20" ht="22.8" customHeight="1" x14ac:dyDescent="0.3">
      <c r="A229" s="2" t="s">
        <v>996</v>
      </c>
      <c r="B229" s="2" t="s">
        <v>997</v>
      </c>
      <c r="C229" s="2" t="s">
        <v>998</v>
      </c>
      <c r="D229" s="3">
        <v>46188.468055555553</v>
      </c>
      <c r="E229" s="3">
        <v>46188.689027777778</v>
      </c>
      <c r="F229" s="2" t="s">
        <v>178</v>
      </c>
      <c r="G229" s="2">
        <v>3</v>
      </c>
      <c r="H229" s="2" t="s">
        <v>999</v>
      </c>
      <c r="I229" s="4" t="s">
        <v>115</v>
      </c>
      <c r="J229" s="2"/>
      <c r="K229" s="2" t="s">
        <v>76</v>
      </c>
      <c r="L229" s="2" t="s">
        <v>81</v>
      </c>
      <c r="M229" s="2"/>
      <c r="N229" s="2" t="s">
        <v>81</v>
      </c>
      <c r="O229" s="2" t="s">
        <v>89</v>
      </c>
      <c r="P229" s="2" t="s">
        <v>81</v>
      </c>
      <c r="Q229" s="2" t="s">
        <v>60</v>
      </c>
      <c r="R229" s="6">
        <v>0.22152777777777777</v>
      </c>
      <c r="S229" s="2" t="s">
        <v>61</v>
      </c>
      <c r="T229" s="2" t="s">
        <v>62</v>
      </c>
    </row>
    <row r="230" spans="1:20" ht="22.8" customHeight="1" x14ac:dyDescent="0.3">
      <c r="A230" s="2" t="s">
        <v>1002</v>
      </c>
      <c r="B230" s="2" t="s">
        <v>430</v>
      </c>
      <c r="C230" s="2" t="s">
        <v>431</v>
      </c>
      <c r="D230" s="3">
        <v>46188.475717592592</v>
      </c>
      <c r="E230" s="3">
        <v>46188.490914351853</v>
      </c>
      <c r="F230" s="2" t="s">
        <v>112</v>
      </c>
      <c r="G230" s="2">
        <v>3</v>
      </c>
      <c r="H230" s="2" t="s">
        <v>1003</v>
      </c>
      <c r="I230" s="4" t="s">
        <v>1004</v>
      </c>
      <c r="J230" s="2"/>
      <c r="K230" s="2" t="s">
        <v>67</v>
      </c>
      <c r="L230" s="2" t="s">
        <v>78</v>
      </c>
      <c r="M230" s="2"/>
      <c r="N230" s="2" t="s">
        <v>79</v>
      </c>
      <c r="O230" s="2" t="s">
        <v>80</v>
      </c>
      <c r="P230" s="2" t="s">
        <v>78</v>
      </c>
      <c r="Q230" s="2" t="s">
        <v>60</v>
      </c>
      <c r="R230" s="6">
        <v>1.5277777777777777E-2</v>
      </c>
      <c r="S230" s="2" t="s">
        <v>61</v>
      </c>
      <c r="T230" s="2" t="s">
        <v>62</v>
      </c>
    </row>
    <row r="231" spans="1:20" ht="22.8" customHeight="1" x14ac:dyDescent="0.3">
      <c r="A231" s="2" t="s">
        <v>1005</v>
      </c>
      <c r="B231" s="2" t="s">
        <v>771</v>
      </c>
      <c r="C231" s="2" t="s">
        <v>772</v>
      </c>
      <c r="D231" s="3">
        <v>46188.48773148148</v>
      </c>
      <c r="E231" s="3">
        <v>46189.329456018517</v>
      </c>
      <c r="F231" s="2" t="s">
        <v>73</v>
      </c>
      <c r="G231" s="2">
        <v>2</v>
      </c>
      <c r="H231" s="2" t="s">
        <v>1006</v>
      </c>
      <c r="I231" s="4" t="s">
        <v>1007</v>
      </c>
      <c r="J231" s="2"/>
      <c r="K231" s="2" t="s">
        <v>76</v>
      </c>
      <c r="L231" s="2" t="s">
        <v>58</v>
      </c>
      <c r="M231" s="2"/>
      <c r="N231" s="2" t="s">
        <v>58</v>
      </c>
      <c r="O231" s="2" t="s">
        <v>65</v>
      </c>
      <c r="P231" s="2" t="s">
        <v>58</v>
      </c>
      <c r="Q231" s="2" t="s">
        <v>60</v>
      </c>
      <c r="R231" s="6">
        <v>0.28333333333333333</v>
      </c>
      <c r="S231" s="2" t="s">
        <v>61</v>
      </c>
      <c r="T231" s="2" t="s">
        <v>62</v>
      </c>
    </row>
    <row r="232" spans="1:20" ht="22.8" customHeight="1" x14ac:dyDescent="0.3">
      <c r="A232" s="2" t="s">
        <v>1008</v>
      </c>
      <c r="B232" s="2" t="s">
        <v>788</v>
      </c>
      <c r="C232" s="2" t="s">
        <v>789</v>
      </c>
      <c r="D232" s="3">
        <v>46188.490324074075</v>
      </c>
      <c r="E232" s="3">
        <v>46191.383344907408</v>
      </c>
      <c r="F232" s="2" t="s">
        <v>77</v>
      </c>
      <c r="G232" s="2">
        <v>3</v>
      </c>
      <c r="H232" s="2" t="s">
        <v>1009</v>
      </c>
      <c r="I232" s="4" t="s">
        <v>179</v>
      </c>
      <c r="J232" s="2"/>
      <c r="K232" s="2" t="s">
        <v>55</v>
      </c>
      <c r="L232" s="2" t="s">
        <v>81</v>
      </c>
      <c r="M232" s="2"/>
      <c r="N232" s="2" t="s">
        <v>78</v>
      </c>
      <c r="O232" s="2" t="s">
        <v>94</v>
      </c>
      <c r="P232" s="2" t="s">
        <v>81</v>
      </c>
      <c r="Q232" s="2" t="s">
        <v>60</v>
      </c>
      <c r="R232" s="5">
        <v>1.2055555555555555</v>
      </c>
      <c r="S232" s="2" t="s">
        <v>61</v>
      </c>
      <c r="T232" s="2" t="s">
        <v>62</v>
      </c>
    </row>
    <row r="233" spans="1:20" ht="22.8" customHeight="1" x14ac:dyDescent="0.3">
      <c r="A233" s="2" t="s">
        <v>1010</v>
      </c>
      <c r="B233" s="2" t="s">
        <v>786</v>
      </c>
      <c r="C233" s="2" t="s">
        <v>787</v>
      </c>
      <c r="D233" s="3">
        <v>46188.490381944444</v>
      </c>
      <c r="E233" s="3">
        <v>46191.383020833331</v>
      </c>
      <c r="F233" s="2" t="s">
        <v>77</v>
      </c>
      <c r="G233" s="2">
        <v>3</v>
      </c>
      <c r="H233" s="2" t="s">
        <v>1011</v>
      </c>
      <c r="I233" s="4" t="s">
        <v>179</v>
      </c>
      <c r="J233" s="2"/>
      <c r="K233" s="2" t="s">
        <v>55</v>
      </c>
      <c r="L233" s="2" t="s">
        <v>81</v>
      </c>
      <c r="M233" s="2"/>
      <c r="N233" s="2" t="s">
        <v>78</v>
      </c>
      <c r="O233" s="2" t="s">
        <v>94</v>
      </c>
      <c r="P233" s="2" t="s">
        <v>81</v>
      </c>
      <c r="Q233" s="2" t="s">
        <v>60</v>
      </c>
      <c r="R233" s="5">
        <v>1.2055555555555555</v>
      </c>
      <c r="S233" s="2" t="s">
        <v>61</v>
      </c>
      <c r="T233" s="2" t="s">
        <v>62</v>
      </c>
    </row>
    <row r="234" spans="1:20" ht="22.8" customHeight="1" x14ac:dyDescent="0.3">
      <c r="A234" s="2" t="s">
        <v>1015</v>
      </c>
      <c r="B234" s="2" t="s">
        <v>167</v>
      </c>
      <c r="C234" s="2" t="s">
        <v>168</v>
      </c>
      <c r="D234" s="3">
        <v>46188.510046296295</v>
      </c>
      <c r="E234" s="3">
        <v>46190.677222222221</v>
      </c>
      <c r="F234" s="2" t="s">
        <v>97</v>
      </c>
      <c r="G234" s="2">
        <v>3</v>
      </c>
      <c r="H234" s="2" t="s">
        <v>1016</v>
      </c>
      <c r="I234" s="4" t="s">
        <v>1017</v>
      </c>
      <c r="J234" s="2"/>
      <c r="K234" s="2" t="s">
        <v>55</v>
      </c>
      <c r="L234" s="2" t="s">
        <v>105</v>
      </c>
      <c r="M234" s="2"/>
      <c r="N234" s="2" t="s">
        <v>98</v>
      </c>
      <c r="O234" s="2" t="s">
        <v>171</v>
      </c>
      <c r="P234" s="2" t="s">
        <v>105</v>
      </c>
      <c r="Q234" s="2" t="s">
        <v>60</v>
      </c>
      <c r="R234" s="5">
        <v>1.0423611111111111</v>
      </c>
      <c r="S234" s="2" t="s">
        <v>61</v>
      </c>
      <c r="T234" s="2" t="s">
        <v>62</v>
      </c>
    </row>
    <row r="235" spans="1:20" ht="22.8" customHeight="1" x14ac:dyDescent="0.3">
      <c r="A235" s="2" t="s">
        <v>1018</v>
      </c>
      <c r="B235" s="2" t="s">
        <v>230</v>
      </c>
      <c r="C235" s="2" t="s">
        <v>231</v>
      </c>
      <c r="D235" s="3">
        <v>46188.622083333335</v>
      </c>
      <c r="E235" s="3">
        <v>46199.534629629627</v>
      </c>
      <c r="F235" s="2" t="s">
        <v>97</v>
      </c>
      <c r="G235" s="2">
        <v>3</v>
      </c>
      <c r="H235" s="2" t="s">
        <v>1019</v>
      </c>
      <c r="I235" s="4" t="s">
        <v>1020</v>
      </c>
      <c r="J235" s="2"/>
      <c r="K235" s="2" t="s">
        <v>55</v>
      </c>
      <c r="L235" s="2" t="s">
        <v>105</v>
      </c>
      <c r="M235" s="2"/>
      <c r="N235" s="2" t="s">
        <v>98</v>
      </c>
      <c r="O235" s="2" t="s">
        <v>664</v>
      </c>
      <c r="P235" s="2" t="s">
        <v>105</v>
      </c>
      <c r="Q235" s="2" t="s">
        <v>60</v>
      </c>
      <c r="R235" s="5">
        <v>3.8506944444444446</v>
      </c>
      <c r="S235" s="2" t="s">
        <v>61</v>
      </c>
      <c r="T235" s="2" t="s">
        <v>62</v>
      </c>
    </row>
    <row r="236" spans="1:20" ht="22.8" customHeight="1" x14ac:dyDescent="0.3">
      <c r="A236" s="2" t="s">
        <v>1021</v>
      </c>
      <c r="B236" s="2" t="s">
        <v>1022</v>
      </c>
      <c r="C236" s="2" t="s">
        <v>1023</v>
      </c>
      <c r="D236" s="3">
        <v>46188.63652777778</v>
      </c>
      <c r="E236" s="3">
        <v>46190.597627314812</v>
      </c>
      <c r="F236" s="2" t="s">
        <v>77</v>
      </c>
      <c r="G236" s="2">
        <v>2</v>
      </c>
      <c r="H236" s="2" t="s">
        <v>1024</v>
      </c>
      <c r="I236" s="4" t="s">
        <v>158</v>
      </c>
      <c r="J236" s="2"/>
      <c r="K236" s="2" t="s">
        <v>76</v>
      </c>
      <c r="L236" s="2" t="s">
        <v>81</v>
      </c>
      <c r="M236" s="2"/>
      <c r="N236" s="2" t="s">
        <v>81</v>
      </c>
      <c r="O236" s="2" t="s">
        <v>89</v>
      </c>
      <c r="P236" s="2" t="s">
        <v>81</v>
      </c>
      <c r="Q236" s="2" t="s">
        <v>60</v>
      </c>
      <c r="R236" s="6">
        <v>0.83611111111111114</v>
      </c>
      <c r="S236" s="2" t="s">
        <v>61</v>
      </c>
      <c r="T236" s="2" t="s">
        <v>62</v>
      </c>
    </row>
    <row r="237" spans="1:20" ht="22.8" customHeight="1" x14ac:dyDescent="0.3">
      <c r="A237" s="2" t="s">
        <v>1026</v>
      </c>
      <c r="B237" s="2" t="s">
        <v>1027</v>
      </c>
      <c r="C237" s="2" t="s">
        <v>1028</v>
      </c>
      <c r="D237" s="3">
        <v>46188.69803240741</v>
      </c>
      <c r="E237" s="3">
        <v>46191.441631944443</v>
      </c>
      <c r="F237" s="2" t="s">
        <v>63</v>
      </c>
      <c r="G237" s="2">
        <v>3</v>
      </c>
      <c r="H237" s="2" t="s">
        <v>1029</v>
      </c>
      <c r="I237" s="4" t="s">
        <v>1030</v>
      </c>
      <c r="J237" s="2"/>
      <c r="K237" s="2" t="s">
        <v>67</v>
      </c>
      <c r="L237" s="2" t="s">
        <v>58</v>
      </c>
      <c r="M237" s="2"/>
      <c r="N237" s="2" t="s">
        <v>58</v>
      </c>
      <c r="O237" s="2" t="s">
        <v>74</v>
      </c>
      <c r="P237" s="2" t="s">
        <v>58</v>
      </c>
      <c r="Q237" s="2" t="s">
        <v>60</v>
      </c>
      <c r="R237" s="5">
        <v>1.1187499999999999</v>
      </c>
      <c r="S237" s="2" t="s">
        <v>61</v>
      </c>
      <c r="T237" s="2" t="s">
        <v>62</v>
      </c>
    </row>
    <row r="238" spans="1:20" ht="22.8" customHeight="1" x14ac:dyDescent="0.3">
      <c r="A238" s="2" t="s">
        <v>1031</v>
      </c>
      <c r="B238" s="2" t="s">
        <v>255</v>
      </c>
      <c r="C238" s="2" t="s">
        <v>256</v>
      </c>
      <c r="D238" s="3">
        <v>46189.420960648145</v>
      </c>
      <c r="E238" s="3">
        <v>46192.68372685185</v>
      </c>
      <c r="F238" s="2" t="s">
        <v>97</v>
      </c>
      <c r="G238" s="2">
        <v>3</v>
      </c>
      <c r="H238" s="2" t="s">
        <v>1032</v>
      </c>
      <c r="I238" s="2"/>
      <c r="J238" s="2"/>
      <c r="K238" s="2" t="s">
        <v>55</v>
      </c>
      <c r="L238" s="2" t="s">
        <v>105</v>
      </c>
      <c r="M238" s="2"/>
      <c r="N238" s="2" t="s">
        <v>98</v>
      </c>
      <c r="O238" s="2" t="s">
        <v>106</v>
      </c>
      <c r="P238" s="2" t="s">
        <v>105</v>
      </c>
      <c r="Q238" s="2" t="s">
        <v>60</v>
      </c>
      <c r="R238" s="5">
        <v>1.5756944444444445</v>
      </c>
      <c r="S238" s="2" t="s">
        <v>61</v>
      </c>
      <c r="T238" s="2" t="s">
        <v>62</v>
      </c>
    </row>
    <row r="239" spans="1:20" ht="22.8" customHeight="1" x14ac:dyDescent="0.3">
      <c r="A239" s="2" t="s">
        <v>1033</v>
      </c>
      <c r="B239" s="2" t="s">
        <v>1034</v>
      </c>
      <c r="C239" s="2" t="s">
        <v>1035</v>
      </c>
      <c r="D239" s="3">
        <v>46190.381076388891</v>
      </c>
      <c r="E239" s="3">
        <v>46191.387418981481</v>
      </c>
      <c r="F239" s="2" t="s">
        <v>165</v>
      </c>
      <c r="G239" s="2">
        <v>3</v>
      </c>
      <c r="H239" s="2" t="s">
        <v>166</v>
      </c>
      <c r="I239" s="4" t="s">
        <v>1036</v>
      </c>
      <c r="J239" s="2"/>
      <c r="K239" s="2" t="s">
        <v>76</v>
      </c>
      <c r="L239" s="2" t="s">
        <v>58</v>
      </c>
      <c r="M239" s="2"/>
      <c r="N239" s="2" t="s">
        <v>58</v>
      </c>
      <c r="O239" s="2" t="s">
        <v>74</v>
      </c>
      <c r="P239" s="2" t="s">
        <v>58</v>
      </c>
      <c r="Q239" s="2" t="s">
        <v>60</v>
      </c>
      <c r="R239" s="6">
        <v>0.44444444444444442</v>
      </c>
      <c r="S239" s="2" t="s">
        <v>61</v>
      </c>
      <c r="T239" s="2" t="s">
        <v>62</v>
      </c>
    </row>
    <row r="240" spans="1:20" ht="22.8" customHeight="1" x14ac:dyDescent="0.3">
      <c r="A240" s="2" t="s">
        <v>1037</v>
      </c>
      <c r="B240" s="2" t="s">
        <v>1038</v>
      </c>
      <c r="C240" s="2" t="s">
        <v>1039</v>
      </c>
      <c r="D240" s="3">
        <v>46190.392013888886</v>
      </c>
      <c r="E240" s="3">
        <v>46198.679224537038</v>
      </c>
      <c r="F240" s="2" t="s">
        <v>88</v>
      </c>
      <c r="G240" s="2">
        <v>3</v>
      </c>
      <c r="H240" s="2" t="s">
        <v>1040</v>
      </c>
      <c r="I240" s="4" t="s">
        <v>1041</v>
      </c>
      <c r="J240" s="2"/>
      <c r="K240" s="2" t="s">
        <v>76</v>
      </c>
      <c r="L240" s="2" t="s">
        <v>81</v>
      </c>
      <c r="M240" s="2"/>
      <c r="N240" s="2" t="s">
        <v>81</v>
      </c>
      <c r="O240" s="2" t="s">
        <v>90</v>
      </c>
      <c r="P240" s="2" t="s">
        <v>81</v>
      </c>
      <c r="Q240" s="2" t="s">
        <v>60</v>
      </c>
      <c r="R240" s="5">
        <v>2.9104166666666669</v>
      </c>
      <c r="S240" s="2" t="s">
        <v>61</v>
      </c>
      <c r="T240" s="2" t="s">
        <v>62</v>
      </c>
    </row>
    <row r="241" spans="1:20" ht="22.8" customHeight="1" x14ac:dyDescent="0.3">
      <c r="A241" s="2" t="s">
        <v>1042</v>
      </c>
      <c r="B241" s="2" t="s">
        <v>148</v>
      </c>
      <c r="C241" s="2" t="s">
        <v>149</v>
      </c>
      <c r="D241" s="3">
        <v>46190.403854166667</v>
      </c>
      <c r="E241" s="3">
        <v>46198.415138888886</v>
      </c>
      <c r="F241" s="2" t="s">
        <v>77</v>
      </c>
      <c r="G241" s="2">
        <v>2</v>
      </c>
      <c r="H241" s="2" t="s">
        <v>1043</v>
      </c>
      <c r="I241" s="4" t="s">
        <v>1044</v>
      </c>
      <c r="J241" s="2"/>
      <c r="K241" s="2" t="s">
        <v>55</v>
      </c>
      <c r="L241" s="2" t="s">
        <v>81</v>
      </c>
      <c r="M241" s="2"/>
      <c r="N241" s="2" t="s">
        <v>78</v>
      </c>
      <c r="O241" s="2" t="s">
        <v>94</v>
      </c>
      <c r="P241" s="2" t="s">
        <v>81</v>
      </c>
      <c r="Q241" s="2" t="s">
        <v>60</v>
      </c>
      <c r="R241" s="5">
        <v>2.6368055555555556</v>
      </c>
      <c r="S241" s="2" t="s">
        <v>61</v>
      </c>
      <c r="T241" s="2" t="s">
        <v>62</v>
      </c>
    </row>
    <row r="242" spans="1:20" ht="22.8" customHeight="1" x14ac:dyDescent="0.3">
      <c r="A242" s="2" t="s">
        <v>1045</v>
      </c>
      <c r="B242" s="2" t="s">
        <v>1046</v>
      </c>
      <c r="C242" s="2" t="s">
        <v>1047</v>
      </c>
      <c r="D242" s="3">
        <v>46190.412870370368</v>
      </c>
      <c r="E242" s="3">
        <v>46190.604826388888</v>
      </c>
      <c r="F242" s="2" t="s">
        <v>93</v>
      </c>
      <c r="G242" s="2">
        <v>2</v>
      </c>
      <c r="H242" s="2" t="s">
        <v>1048</v>
      </c>
      <c r="I242" s="4" t="s">
        <v>1049</v>
      </c>
      <c r="J242" s="2"/>
      <c r="K242" s="2" t="s">
        <v>76</v>
      </c>
      <c r="L242" s="2" t="s">
        <v>81</v>
      </c>
      <c r="M242" s="2"/>
      <c r="N242" s="2" t="s">
        <v>81</v>
      </c>
      <c r="O242" s="2" t="s">
        <v>89</v>
      </c>
      <c r="P242" s="2" t="s">
        <v>81</v>
      </c>
      <c r="Q242" s="2" t="s">
        <v>60</v>
      </c>
      <c r="R242" s="6">
        <v>0.19236111111111112</v>
      </c>
      <c r="S242" s="2" t="s">
        <v>61</v>
      </c>
      <c r="T242" s="2" t="s">
        <v>62</v>
      </c>
    </row>
    <row r="243" spans="1:20" ht="22.8" customHeight="1" x14ac:dyDescent="0.3">
      <c r="A243" s="2" t="s">
        <v>1050</v>
      </c>
      <c r="B243" s="2" t="s">
        <v>602</v>
      </c>
      <c r="C243" s="2" t="s">
        <v>603</v>
      </c>
      <c r="D243" s="3">
        <v>46190.429895833331</v>
      </c>
      <c r="E243" s="3">
        <v>46190.570300925923</v>
      </c>
      <c r="F243" s="2" t="s">
        <v>134</v>
      </c>
      <c r="G243" s="2">
        <v>3</v>
      </c>
      <c r="H243" s="2" t="s">
        <v>135</v>
      </c>
      <c r="I243" s="2"/>
      <c r="J243" s="2"/>
      <c r="K243" s="2" t="s">
        <v>55</v>
      </c>
      <c r="L243" s="2" t="s">
        <v>102</v>
      </c>
      <c r="M243" s="2"/>
      <c r="N243" s="2" t="s">
        <v>86</v>
      </c>
      <c r="O243" s="2" t="s">
        <v>87</v>
      </c>
      <c r="P243" s="2" t="s">
        <v>102</v>
      </c>
      <c r="Q243" s="2" t="s">
        <v>60</v>
      </c>
      <c r="R243" s="6">
        <v>2.361111111111111E-2</v>
      </c>
      <c r="S243" s="2" t="s">
        <v>61</v>
      </c>
      <c r="T243" s="2" t="s">
        <v>62</v>
      </c>
    </row>
    <row r="244" spans="1:20" ht="22.8" customHeight="1" x14ac:dyDescent="0.3">
      <c r="A244" s="2" t="s">
        <v>1051</v>
      </c>
      <c r="B244" s="2" t="s">
        <v>68</v>
      </c>
      <c r="C244" s="2" t="s">
        <v>69</v>
      </c>
      <c r="D244" s="3">
        <v>46190.446944444448</v>
      </c>
      <c r="E244" s="3">
        <v>46202.740833333337</v>
      </c>
      <c r="F244" s="2" t="s">
        <v>100</v>
      </c>
      <c r="G244" s="2">
        <v>2</v>
      </c>
      <c r="H244" s="4" t="s">
        <v>1052</v>
      </c>
      <c r="I244" s="4" t="s">
        <v>1053</v>
      </c>
      <c r="J244" s="2"/>
      <c r="K244" s="2" t="s">
        <v>55</v>
      </c>
      <c r="L244" s="2" t="s">
        <v>71</v>
      </c>
      <c r="M244" s="2"/>
      <c r="N244" s="2" t="s">
        <v>892</v>
      </c>
      <c r="O244" s="2" t="s">
        <v>68</v>
      </c>
      <c r="P244" s="2" t="s">
        <v>71</v>
      </c>
      <c r="Q244" s="2" t="s">
        <v>60</v>
      </c>
      <c r="R244" s="5">
        <v>3.7944444444444443</v>
      </c>
      <c r="S244" s="2" t="s">
        <v>61</v>
      </c>
      <c r="T244" s="2" t="s">
        <v>189</v>
      </c>
    </row>
    <row r="245" spans="1:20" ht="22.8" customHeight="1" x14ac:dyDescent="0.3">
      <c r="A245" s="2" t="s">
        <v>1054</v>
      </c>
      <c r="B245" s="2" t="s">
        <v>747</v>
      </c>
      <c r="C245" s="2" t="s">
        <v>748</v>
      </c>
      <c r="D245" s="3">
        <v>46190.473900462966</v>
      </c>
      <c r="E245" s="3">
        <v>46190.590462962966</v>
      </c>
      <c r="F245" s="2" t="s">
        <v>112</v>
      </c>
      <c r="G245" s="2">
        <v>3</v>
      </c>
      <c r="H245" s="2" t="s">
        <v>1055</v>
      </c>
      <c r="I245" s="4" t="s">
        <v>1056</v>
      </c>
      <c r="J245" s="2"/>
      <c r="K245" s="2" t="s">
        <v>67</v>
      </c>
      <c r="L245" s="2" t="s">
        <v>78</v>
      </c>
      <c r="M245" s="2"/>
      <c r="N245" s="2" t="s">
        <v>79</v>
      </c>
      <c r="O245" s="2" t="s">
        <v>80</v>
      </c>
      <c r="P245" s="2" t="s">
        <v>78</v>
      </c>
      <c r="Q245" s="2" t="s">
        <v>60</v>
      </c>
      <c r="R245" s="6">
        <v>0.11666666666666667</v>
      </c>
      <c r="S245" s="2" t="s">
        <v>61</v>
      </c>
      <c r="T245" s="2" t="s">
        <v>62</v>
      </c>
    </row>
    <row r="246" spans="1:20" ht="22.8" customHeight="1" x14ac:dyDescent="0.3">
      <c r="A246" s="2" t="s">
        <v>1057</v>
      </c>
      <c r="B246" s="2" t="s">
        <v>1058</v>
      </c>
      <c r="C246" s="2" t="s">
        <v>1059</v>
      </c>
      <c r="D246" s="3">
        <v>46190.49622685185</v>
      </c>
      <c r="E246" s="3">
        <v>46196.615891203706</v>
      </c>
      <c r="F246" s="2" t="s">
        <v>88</v>
      </c>
      <c r="G246" s="2">
        <v>2</v>
      </c>
      <c r="H246" s="2" t="s">
        <v>1060</v>
      </c>
      <c r="I246" s="4" t="s">
        <v>1061</v>
      </c>
      <c r="J246" s="2"/>
      <c r="K246" s="2" t="s">
        <v>76</v>
      </c>
      <c r="L246" s="2" t="s">
        <v>81</v>
      </c>
      <c r="M246" s="2"/>
      <c r="N246" s="2" t="s">
        <v>81</v>
      </c>
      <c r="O246" s="2" t="s">
        <v>90</v>
      </c>
      <c r="P246" s="2" t="s">
        <v>81</v>
      </c>
      <c r="Q246" s="2" t="s">
        <v>60</v>
      </c>
      <c r="R246" s="5">
        <v>1.8701388888888888</v>
      </c>
      <c r="S246" s="2" t="s">
        <v>61</v>
      </c>
      <c r="T246" s="2" t="s">
        <v>62</v>
      </c>
    </row>
    <row r="247" spans="1:20" ht="22.8" customHeight="1" x14ac:dyDescent="0.3">
      <c r="A247" s="2" t="s">
        <v>1062</v>
      </c>
      <c r="B247" s="2" t="s">
        <v>1063</v>
      </c>
      <c r="C247" s="2" t="s">
        <v>1064</v>
      </c>
      <c r="D247" s="3">
        <v>46190.567696759259</v>
      </c>
      <c r="E247" s="3">
        <v>46196.636018518519</v>
      </c>
      <c r="F247" s="2" t="s">
        <v>88</v>
      </c>
      <c r="G247" s="2">
        <v>2</v>
      </c>
      <c r="H247" s="2" t="s">
        <v>1065</v>
      </c>
      <c r="I247" s="4" t="s">
        <v>1066</v>
      </c>
      <c r="J247" s="2"/>
      <c r="K247" s="2" t="s">
        <v>76</v>
      </c>
      <c r="L247" s="2" t="s">
        <v>81</v>
      </c>
      <c r="M247" s="2"/>
      <c r="N247" s="2" t="s">
        <v>81</v>
      </c>
      <c r="O247" s="2" t="s">
        <v>90</v>
      </c>
      <c r="P247" s="2" t="s">
        <v>81</v>
      </c>
      <c r="Q247" s="2" t="s">
        <v>60</v>
      </c>
      <c r="R247" s="5">
        <v>1.8187500000000001</v>
      </c>
      <c r="S247" s="2" t="s">
        <v>61</v>
      </c>
      <c r="T247" s="2" t="s">
        <v>62</v>
      </c>
    </row>
    <row r="248" spans="1:20" ht="22.8" customHeight="1" x14ac:dyDescent="0.3">
      <c r="A248" s="2" t="s">
        <v>1067</v>
      </c>
      <c r="B248" s="2" t="s">
        <v>1068</v>
      </c>
      <c r="C248" s="2" t="s">
        <v>1069</v>
      </c>
      <c r="D248" s="3">
        <v>46190.600324074076</v>
      </c>
      <c r="E248" s="3">
        <v>46199.534837962965</v>
      </c>
      <c r="F248" s="2" t="s">
        <v>97</v>
      </c>
      <c r="G248" s="2">
        <v>3</v>
      </c>
      <c r="H248" s="2" t="s">
        <v>1070</v>
      </c>
      <c r="I248" s="2"/>
      <c r="J248" s="2"/>
      <c r="K248" s="2" t="s">
        <v>55</v>
      </c>
      <c r="L248" s="2" t="s">
        <v>105</v>
      </c>
      <c r="M248" s="2"/>
      <c r="N248" s="2" t="s">
        <v>98</v>
      </c>
      <c r="O248" s="2" t="s">
        <v>664</v>
      </c>
      <c r="P248" s="2" t="s">
        <v>105</v>
      </c>
      <c r="Q248" s="2" t="s">
        <v>60</v>
      </c>
      <c r="R248" s="5">
        <v>2.9972222222222222</v>
      </c>
      <c r="S248" s="2" t="s">
        <v>61</v>
      </c>
      <c r="T248" s="2" t="s">
        <v>62</v>
      </c>
    </row>
    <row r="249" spans="1:20" ht="22.8" customHeight="1" x14ac:dyDescent="0.3">
      <c r="A249" s="2" t="s">
        <v>1071</v>
      </c>
      <c r="B249" s="2" t="s">
        <v>1072</v>
      </c>
      <c r="C249" s="2" t="s">
        <v>1073</v>
      </c>
      <c r="D249" s="3">
        <v>46190.601307870369</v>
      </c>
      <c r="E249" s="3">
        <v>46199.387164351851</v>
      </c>
      <c r="F249" s="2" t="s">
        <v>88</v>
      </c>
      <c r="G249" s="2">
        <v>3</v>
      </c>
      <c r="H249" s="2" t="s">
        <v>1074</v>
      </c>
      <c r="I249" s="4" t="s">
        <v>1075</v>
      </c>
      <c r="J249" s="2"/>
      <c r="K249" s="2" t="s">
        <v>76</v>
      </c>
      <c r="L249" s="2" t="s">
        <v>81</v>
      </c>
      <c r="M249" s="2"/>
      <c r="N249" s="2" t="s">
        <v>81</v>
      </c>
      <c r="O249" s="2" t="s">
        <v>90</v>
      </c>
      <c r="P249" s="2" t="s">
        <v>81</v>
      </c>
      <c r="Q249" s="2" t="s">
        <v>60</v>
      </c>
      <c r="R249" s="5">
        <v>2.848611111111111</v>
      </c>
      <c r="S249" s="2" t="s">
        <v>61</v>
      </c>
      <c r="T249" s="2" t="s">
        <v>62</v>
      </c>
    </row>
    <row r="250" spans="1:20" ht="22.8" customHeight="1" x14ac:dyDescent="0.3">
      <c r="A250" s="2" t="s">
        <v>1076</v>
      </c>
      <c r="B250" s="2" t="s">
        <v>277</v>
      </c>
      <c r="C250" s="2" t="s">
        <v>278</v>
      </c>
      <c r="D250" s="3">
        <v>46190.626284722224</v>
      </c>
      <c r="E250" s="3">
        <v>46197.500787037039</v>
      </c>
      <c r="F250" s="2" t="s">
        <v>109</v>
      </c>
      <c r="G250" s="2">
        <v>2</v>
      </c>
      <c r="H250" s="4" t="s">
        <v>1077</v>
      </c>
      <c r="I250" s="4" t="s">
        <v>1078</v>
      </c>
      <c r="J250" s="2"/>
      <c r="K250" s="2" t="s">
        <v>76</v>
      </c>
      <c r="L250" s="2" t="s">
        <v>110</v>
      </c>
      <c r="M250" s="2"/>
      <c r="N250" s="2" t="s">
        <v>110</v>
      </c>
      <c r="O250" s="2" t="s">
        <v>111</v>
      </c>
      <c r="P250" s="2" t="s">
        <v>110</v>
      </c>
      <c r="Q250" s="2" t="s">
        <v>60</v>
      </c>
      <c r="R250" s="5">
        <v>2.0625</v>
      </c>
      <c r="S250" s="2" t="s">
        <v>61</v>
      </c>
      <c r="T250" s="2" t="s">
        <v>62</v>
      </c>
    </row>
    <row r="251" spans="1:20" ht="22.8" customHeight="1" x14ac:dyDescent="0.3">
      <c r="A251" s="2" t="s">
        <v>1079</v>
      </c>
      <c r="B251" s="2" t="s">
        <v>1080</v>
      </c>
      <c r="C251" s="2" t="s">
        <v>1081</v>
      </c>
      <c r="D251" s="3">
        <v>46190.629027777781</v>
      </c>
      <c r="E251" s="3">
        <v>46191.366678240738</v>
      </c>
      <c r="F251" s="2" t="s">
        <v>77</v>
      </c>
      <c r="G251" s="2">
        <v>3</v>
      </c>
      <c r="H251" s="2" t="s">
        <v>1082</v>
      </c>
      <c r="I251" s="4" t="s">
        <v>1083</v>
      </c>
      <c r="J251" s="2"/>
      <c r="K251" s="2" t="s">
        <v>67</v>
      </c>
      <c r="L251" s="2" t="s">
        <v>78</v>
      </c>
      <c r="M251" s="2"/>
      <c r="N251" s="2" t="s">
        <v>79</v>
      </c>
      <c r="O251" s="2" t="s">
        <v>80</v>
      </c>
      <c r="P251" s="2" t="s">
        <v>78</v>
      </c>
      <c r="Q251" s="2" t="s">
        <v>60</v>
      </c>
      <c r="R251" s="6">
        <v>0.17569444444444443</v>
      </c>
      <c r="S251" s="2" t="s">
        <v>61</v>
      </c>
      <c r="T251" s="2" t="s">
        <v>62</v>
      </c>
    </row>
    <row r="252" spans="1:20" ht="22.8" customHeight="1" x14ac:dyDescent="0.3">
      <c r="A252" s="2" t="s">
        <v>1089</v>
      </c>
      <c r="B252" s="2" t="s">
        <v>245</v>
      </c>
      <c r="C252" s="2" t="s">
        <v>246</v>
      </c>
      <c r="D252" s="3">
        <v>46191.471226851849</v>
      </c>
      <c r="E252" s="3">
        <v>46191.484375</v>
      </c>
      <c r="F252" s="2" t="s">
        <v>112</v>
      </c>
      <c r="G252" s="2">
        <v>3</v>
      </c>
      <c r="H252" s="2" t="s">
        <v>1090</v>
      </c>
      <c r="I252" s="4" t="s">
        <v>986</v>
      </c>
      <c r="J252" s="2"/>
      <c r="K252" s="2" t="s">
        <v>67</v>
      </c>
      <c r="L252" s="2" t="s">
        <v>78</v>
      </c>
      <c r="M252" s="2"/>
      <c r="N252" s="2" t="s">
        <v>79</v>
      </c>
      <c r="O252" s="2" t="s">
        <v>80</v>
      </c>
      <c r="P252" s="2" t="s">
        <v>78</v>
      </c>
      <c r="Q252" s="2" t="s">
        <v>60</v>
      </c>
      <c r="R252" s="6">
        <v>1.3194444444444444E-2</v>
      </c>
      <c r="S252" s="2" t="s">
        <v>61</v>
      </c>
      <c r="T252" s="2" t="s">
        <v>62</v>
      </c>
    </row>
    <row r="253" spans="1:20" ht="22.8" customHeight="1" x14ac:dyDescent="0.3">
      <c r="A253" s="2" t="s">
        <v>1091</v>
      </c>
      <c r="B253" s="2" t="s">
        <v>1022</v>
      </c>
      <c r="C253" s="2" t="s">
        <v>1023</v>
      </c>
      <c r="D253" s="3">
        <v>46191.488622685189</v>
      </c>
      <c r="E253" s="3">
        <v>46196.423171296294</v>
      </c>
      <c r="F253" s="2" t="s">
        <v>97</v>
      </c>
      <c r="G253" s="2">
        <v>2</v>
      </c>
      <c r="H253" s="2" t="s">
        <v>1092</v>
      </c>
      <c r="I253" s="2"/>
      <c r="J253" s="2"/>
      <c r="K253" s="2" t="s">
        <v>76</v>
      </c>
      <c r="L253" s="2" t="s">
        <v>98</v>
      </c>
      <c r="M253" s="2"/>
      <c r="N253" s="2" t="s">
        <v>98</v>
      </c>
      <c r="O253" s="2" t="s">
        <v>287</v>
      </c>
      <c r="P253" s="2" t="s">
        <v>98</v>
      </c>
      <c r="Q253" s="2" t="s">
        <v>60</v>
      </c>
      <c r="R253" s="5">
        <v>1.2472222222222222</v>
      </c>
      <c r="S253" s="2" t="s">
        <v>61</v>
      </c>
      <c r="T253" s="2" t="s">
        <v>62</v>
      </c>
    </row>
    <row r="254" spans="1:20" ht="22.8" customHeight="1" x14ac:dyDescent="0.3">
      <c r="A254" s="2" t="s">
        <v>1093</v>
      </c>
      <c r="B254" s="2" t="s">
        <v>89</v>
      </c>
      <c r="C254" s="2" t="s">
        <v>1094</v>
      </c>
      <c r="D254" s="3">
        <v>46191.617407407408</v>
      </c>
      <c r="E254" s="3">
        <v>46195.708807870367</v>
      </c>
      <c r="F254" s="2" t="s">
        <v>63</v>
      </c>
      <c r="G254" s="2">
        <v>3</v>
      </c>
      <c r="H254" s="2" t="s">
        <v>656</v>
      </c>
      <c r="I254" s="4" t="s">
        <v>64</v>
      </c>
      <c r="J254" s="2"/>
      <c r="K254" s="2" t="s">
        <v>76</v>
      </c>
      <c r="L254" s="2" t="s">
        <v>58</v>
      </c>
      <c r="M254" s="2"/>
      <c r="N254" s="2" t="s">
        <v>58</v>
      </c>
      <c r="O254" s="2" t="s">
        <v>65</v>
      </c>
      <c r="P254" s="2" t="s">
        <v>58</v>
      </c>
      <c r="Q254" s="2" t="s">
        <v>60</v>
      </c>
      <c r="R254" s="5">
        <v>1.0083333333333333</v>
      </c>
      <c r="S254" s="2" t="s">
        <v>61</v>
      </c>
      <c r="T254" s="2" t="s">
        <v>62</v>
      </c>
    </row>
    <row r="255" spans="1:20" ht="22.8" customHeight="1" x14ac:dyDescent="0.3">
      <c r="A255" s="2" t="s">
        <v>1095</v>
      </c>
      <c r="B255" s="2" t="s">
        <v>685</v>
      </c>
      <c r="C255" s="2" t="s">
        <v>686</v>
      </c>
      <c r="D255" s="3">
        <v>46192.393622685187</v>
      </c>
      <c r="E255" s="3">
        <v>46192.613969907405</v>
      </c>
      <c r="F255" s="2" t="s">
        <v>88</v>
      </c>
      <c r="G255" s="2">
        <v>2</v>
      </c>
      <c r="H255" s="2" t="s">
        <v>1096</v>
      </c>
      <c r="I255" s="4" t="s">
        <v>1097</v>
      </c>
      <c r="J255" s="2"/>
      <c r="K255" s="2" t="s">
        <v>67</v>
      </c>
      <c r="L255" s="2" t="s">
        <v>78</v>
      </c>
      <c r="M255" s="2"/>
      <c r="N255" s="2" t="s">
        <v>79</v>
      </c>
      <c r="O255" s="2" t="s">
        <v>80</v>
      </c>
      <c r="P255" s="2" t="s">
        <v>78</v>
      </c>
      <c r="Q255" s="2" t="s">
        <v>60</v>
      </c>
      <c r="R255" s="6">
        <v>0.22083333333333333</v>
      </c>
      <c r="S255" s="2" t="s">
        <v>61</v>
      </c>
      <c r="T255" s="2" t="s">
        <v>62</v>
      </c>
    </row>
    <row r="256" spans="1:20" ht="22.8" customHeight="1" x14ac:dyDescent="0.3">
      <c r="A256" s="2" t="s">
        <v>1098</v>
      </c>
      <c r="B256" s="2" t="s">
        <v>1099</v>
      </c>
      <c r="C256" s="2" t="s">
        <v>1100</v>
      </c>
      <c r="D256" s="3">
        <v>46192.40520833333</v>
      </c>
      <c r="E256" s="3">
        <v>46202.453564814816</v>
      </c>
      <c r="F256" s="2" t="s">
        <v>77</v>
      </c>
      <c r="G256" s="2">
        <v>2</v>
      </c>
      <c r="H256" s="2" t="s">
        <v>1101</v>
      </c>
      <c r="I256" s="4" t="s">
        <v>235</v>
      </c>
      <c r="J256" s="2"/>
      <c r="K256" s="2" t="s">
        <v>55</v>
      </c>
      <c r="L256" s="2" t="s">
        <v>78</v>
      </c>
      <c r="M256" s="2"/>
      <c r="N256" s="2" t="s">
        <v>78</v>
      </c>
      <c r="O256" s="2" t="s">
        <v>103</v>
      </c>
      <c r="P256" s="2" t="s">
        <v>78</v>
      </c>
      <c r="Q256" s="2" t="s">
        <v>60</v>
      </c>
      <c r="R256" s="5">
        <v>2.6736111111111112</v>
      </c>
      <c r="S256" s="2" t="s">
        <v>61</v>
      </c>
      <c r="T256" s="2" t="s">
        <v>62</v>
      </c>
    </row>
    <row r="257" spans="1:20" ht="22.8" customHeight="1" x14ac:dyDescent="0.3">
      <c r="A257" s="2" t="s">
        <v>1102</v>
      </c>
      <c r="B257" s="2" t="s">
        <v>1103</v>
      </c>
      <c r="C257" s="2" t="s">
        <v>1104</v>
      </c>
      <c r="D257" s="3">
        <v>46192.522800925923</v>
      </c>
      <c r="E257" s="3">
        <v>46196.421956018516</v>
      </c>
      <c r="F257" s="2" t="s">
        <v>77</v>
      </c>
      <c r="G257" s="2">
        <v>2</v>
      </c>
      <c r="H257" s="2" t="s">
        <v>1105</v>
      </c>
      <c r="I257" s="4" t="s">
        <v>1106</v>
      </c>
      <c r="J257" s="2"/>
      <c r="K257" s="2" t="s">
        <v>76</v>
      </c>
      <c r="L257" s="2" t="s">
        <v>81</v>
      </c>
      <c r="M257" s="2"/>
      <c r="N257" s="2" t="s">
        <v>81</v>
      </c>
      <c r="O257" s="2" t="s">
        <v>90</v>
      </c>
      <c r="P257" s="2" t="s">
        <v>81</v>
      </c>
      <c r="Q257" s="2" t="s">
        <v>60</v>
      </c>
      <c r="R257" s="6">
        <v>0.77430555555555558</v>
      </c>
      <c r="S257" s="2" t="s">
        <v>61</v>
      </c>
      <c r="T257" s="2" t="s">
        <v>62</v>
      </c>
    </row>
    <row r="258" spans="1:20" ht="22.8" customHeight="1" x14ac:dyDescent="0.3">
      <c r="A258" s="2" t="s">
        <v>1107</v>
      </c>
      <c r="B258" s="2" t="s">
        <v>80</v>
      </c>
      <c r="C258" s="2" t="s">
        <v>655</v>
      </c>
      <c r="D258" s="3">
        <v>46192.554502314815</v>
      </c>
      <c r="E258" s="3">
        <v>46195.707731481481</v>
      </c>
      <c r="F258" s="2" t="s">
        <v>63</v>
      </c>
      <c r="G258" s="2">
        <v>3</v>
      </c>
      <c r="H258" s="2" t="s">
        <v>656</v>
      </c>
      <c r="I258" s="4" t="s">
        <v>64</v>
      </c>
      <c r="J258" s="2"/>
      <c r="K258" s="2" t="s">
        <v>67</v>
      </c>
      <c r="L258" s="2" t="s">
        <v>58</v>
      </c>
      <c r="M258" s="2"/>
      <c r="N258" s="2" t="s">
        <v>58</v>
      </c>
      <c r="O258" s="2" t="s">
        <v>65</v>
      </c>
      <c r="P258" s="2" t="s">
        <v>58</v>
      </c>
      <c r="Q258" s="2" t="s">
        <v>60</v>
      </c>
      <c r="R258" s="6">
        <v>0.6118055555555556</v>
      </c>
      <c r="S258" s="2" t="s">
        <v>61</v>
      </c>
      <c r="T258" s="2" t="s">
        <v>62</v>
      </c>
    </row>
    <row r="259" spans="1:20" ht="22.8" customHeight="1" x14ac:dyDescent="0.3">
      <c r="A259" s="2" t="s">
        <v>1113</v>
      </c>
      <c r="B259" s="2" t="s">
        <v>685</v>
      </c>
      <c r="C259" s="2" t="s">
        <v>686</v>
      </c>
      <c r="D259" s="3">
        <v>46192.629050925927</v>
      </c>
      <c r="E259" s="3">
        <v>46192.704085648147</v>
      </c>
      <c r="F259" s="2" t="s">
        <v>77</v>
      </c>
      <c r="G259" s="2">
        <v>3</v>
      </c>
      <c r="H259" s="2" t="s">
        <v>1114</v>
      </c>
      <c r="I259" s="4" t="s">
        <v>986</v>
      </c>
      <c r="J259" s="2"/>
      <c r="K259" s="2" t="s">
        <v>67</v>
      </c>
      <c r="L259" s="2" t="s">
        <v>78</v>
      </c>
      <c r="M259" s="2"/>
      <c r="N259" s="2" t="s">
        <v>79</v>
      </c>
      <c r="O259" s="2" t="s">
        <v>80</v>
      </c>
      <c r="P259" s="2" t="s">
        <v>78</v>
      </c>
      <c r="Q259" s="2" t="s">
        <v>60</v>
      </c>
      <c r="R259" s="6">
        <v>7.5694444444444439E-2</v>
      </c>
      <c r="S259" s="2" t="s">
        <v>61</v>
      </c>
      <c r="T259" s="2" t="s">
        <v>62</v>
      </c>
    </row>
    <row r="260" spans="1:20" ht="22.8" customHeight="1" x14ac:dyDescent="0.3">
      <c r="A260" s="2" t="s">
        <v>1117</v>
      </c>
      <c r="B260" s="2" t="s">
        <v>1118</v>
      </c>
      <c r="C260" s="2" t="s">
        <v>1119</v>
      </c>
      <c r="D260" s="3">
        <v>46192.635254629633</v>
      </c>
      <c r="E260" s="3">
        <v>46202.669942129629</v>
      </c>
      <c r="F260" s="2" t="s">
        <v>93</v>
      </c>
      <c r="G260" s="2">
        <v>3</v>
      </c>
      <c r="H260" s="2" t="s">
        <v>1120</v>
      </c>
      <c r="I260" s="4" t="s">
        <v>1121</v>
      </c>
      <c r="J260" s="2"/>
      <c r="K260" s="2" t="s">
        <v>55</v>
      </c>
      <c r="L260" s="2" t="s">
        <v>78</v>
      </c>
      <c r="M260" s="2"/>
      <c r="N260" s="2" t="s">
        <v>78</v>
      </c>
      <c r="O260" s="2" t="s">
        <v>103</v>
      </c>
      <c r="P260" s="2" t="s">
        <v>78</v>
      </c>
      <c r="Q260" s="2" t="s">
        <v>60</v>
      </c>
      <c r="R260" s="5">
        <v>2.6597222222222223</v>
      </c>
      <c r="S260" s="2" t="s">
        <v>61</v>
      </c>
      <c r="T260" s="2" t="s">
        <v>62</v>
      </c>
    </row>
    <row r="261" spans="1:20" ht="22.8" customHeight="1" x14ac:dyDescent="0.3">
      <c r="A261" s="2" t="s">
        <v>1122</v>
      </c>
      <c r="B261" s="2" t="s">
        <v>227</v>
      </c>
      <c r="C261" s="2" t="s">
        <v>228</v>
      </c>
      <c r="D261" s="3">
        <v>46192.625520833331</v>
      </c>
      <c r="E261" s="3">
        <v>46195.365555555552</v>
      </c>
      <c r="F261" s="2" t="s">
        <v>1123</v>
      </c>
      <c r="G261" s="2">
        <v>1</v>
      </c>
      <c r="H261" s="2" t="s">
        <v>1124</v>
      </c>
      <c r="I261" s="4" t="s">
        <v>1125</v>
      </c>
      <c r="J261" s="2"/>
      <c r="K261" s="2" t="s">
        <v>55</v>
      </c>
      <c r="L261" s="2" t="s">
        <v>58</v>
      </c>
      <c r="M261" s="2" t="s">
        <v>1126</v>
      </c>
      <c r="N261" s="2" t="s">
        <v>1126</v>
      </c>
      <c r="O261" s="2" t="s">
        <v>1127</v>
      </c>
      <c r="P261" s="2" t="s">
        <v>58</v>
      </c>
      <c r="Q261" s="2" t="s">
        <v>60</v>
      </c>
      <c r="R261" s="6">
        <v>0.17777777777777778</v>
      </c>
      <c r="S261" s="2" t="s">
        <v>170</v>
      </c>
      <c r="T261" s="2" t="s">
        <v>224</v>
      </c>
    </row>
    <row r="262" spans="1:20" ht="22.8" customHeight="1" x14ac:dyDescent="0.3">
      <c r="A262" s="2" t="s">
        <v>1128</v>
      </c>
      <c r="B262" s="2" t="s">
        <v>1129</v>
      </c>
      <c r="C262" s="2" t="s">
        <v>1130</v>
      </c>
      <c r="D262" s="3">
        <v>46192.674629629626</v>
      </c>
      <c r="E262" s="3">
        <v>46202.70789351852</v>
      </c>
      <c r="F262" s="2" t="s">
        <v>56</v>
      </c>
      <c r="G262" s="2">
        <v>3</v>
      </c>
      <c r="H262" s="2" t="s">
        <v>57</v>
      </c>
      <c r="I262" s="4" t="s">
        <v>740</v>
      </c>
      <c r="J262" s="2"/>
      <c r="K262" s="2" t="s">
        <v>55</v>
      </c>
      <c r="L262" s="2" t="s">
        <v>58</v>
      </c>
      <c r="M262" s="2"/>
      <c r="N262" s="2" t="s">
        <v>58</v>
      </c>
      <c r="O262" s="2" t="s">
        <v>59</v>
      </c>
      <c r="P262" s="2" t="s">
        <v>58</v>
      </c>
      <c r="Q262" s="2" t="s">
        <v>60</v>
      </c>
      <c r="R262" s="5">
        <v>2.6583333333333332</v>
      </c>
      <c r="S262" s="2" t="s">
        <v>108</v>
      </c>
      <c r="T262" s="2" t="s">
        <v>62</v>
      </c>
    </row>
    <row r="263" spans="1:20" ht="22.8" customHeight="1" x14ac:dyDescent="0.3">
      <c r="A263" s="2" t="s">
        <v>1131</v>
      </c>
      <c r="B263" s="2" t="s">
        <v>1129</v>
      </c>
      <c r="C263" s="2" t="s">
        <v>1130</v>
      </c>
      <c r="D263" s="3">
        <v>46192.675000000003</v>
      </c>
      <c r="E263" s="3">
        <v>46202.688668981478</v>
      </c>
      <c r="F263" s="2" t="s">
        <v>63</v>
      </c>
      <c r="G263" s="2">
        <v>3</v>
      </c>
      <c r="H263" s="2" t="s">
        <v>779</v>
      </c>
      <c r="I263" s="4" t="s">
        <v>183</v>
      </c>
      <c r="J263" s="2"/>
      <c r="K263" s="2" t="s">
        <v>55</v>
      </c>
      <c r="L263" s="2" t="s">
        <v>58</v>
      </c>
      <c r="M263" s="2"/>
      <c r="N263" s="2" t="s">
        <v>58</v>
      </c>
      <c r="O263" s="2" t="s">
        <v>59</v>
      </c>
      <c r="P263" s="2" t="s">
        <v>58</v>
      </c>
      <c r="Q263" s="2" t="s">
        <v>60</v>
      </c>
      <c r="R263" s="5">
        <v>2.7638888888888888</v>
      </c>
      <c r="S263" s="2" t="s">
        <v>108</v>
      </c>
      <c r="T263" s="2" t="s">
        <v>62</v>
      </c>
    </row>
    <row r="264" spans="1:20" ht="22.8" customHeight="1" x14ac:dyDescent="0.3">
      <c r="A264" s="2" t="s">
        <v>1132</v>
      </c>
      <c r="B264" s="2" t="s">
        <v>302</v>
      </c>
      <c r="C264" s="2" t="s">
        <v>303</v>
      </c>
      <c r="D264" s="3">
        <v>46192.692569444444</v>
      </c>
      <c r="E264" s="3">
        <v>46192.69803240741</v>
      </c>
      <c r="F264" s="2" t="s">
        <v>939</v>
      </c>
      <c r="G264" s="2">
        <v>3</v>
      </c>
      <c r="H264" s="4" t="s">
        <v>1133</v>
      </c>
      <c r="I264" s="4" t="s">
        <v>1134</v>
      </c>
      <c r="J264" s="2"/>
      <c r="K264" s="2" t="s">
        <v>55</v>
      </c>
      <c r="L264" s="2" t="s">
        <v>137</v>
      </c>
      <c r="M264" s="2"/>
      <c r="N264" s="2" t="s">
        <v>91</v>
      </c>
      <c r="O264" s="2" t="s">
        <v>138</v>
      </c>
      <c r="P264" s="2" t="s">
        <v>137</v>
      </c>
      <c r="Q264" s="2" t="s">
        <v>60</v>
      </c>
      <c r="R264" s="6">
        <v>5.5555555555555558E-3</v>
      </c>
      <c r="S264" s="2" t="s">
        <v>61</v>
      </c>
      <c r="T264" s="2" t="s">
        <v>62</v>
      </c>
    </row>
    <row r="265" spans="1:20" ht="22.8" customHeight="1" x14ac:dyDescent="0.3">
      <c r="A265" s="2" t="s">
        <v>1135</v>
      </c>
      <c r="B265" s="2" t="s">
        <v>142</v>
      </c>
      <c r="C265" s="2" t="s">
        <v>143</v>
      </c>
      <c r="D265" s="3">
        <v>46192.726724537039</v>
      </c>
      <c r="E265" s="3">
        <v>46195.51703703704</v>
      </c>
      <c r="F265" s="2" t="s">
        <v>226</v>
      </c>
      <c r="G265" s="2">
        <v>2</v>
      </c>
      <c r="H265" s="2" t="s">
        <v>1136</v>
      </c>
      <c r="I265" s="4" t="s">
        <v>1137</v>
      </c>
      <c r="J265" s="2"/>
      <c r="K265" s="2" t="s">
        <v>76</v>
      </c>
      <c r="L265" s="2" t="s">
        <v>58</v>
      </c>
      <c r="M265" s="2"/>
      <c r="N265" s="2" t="s">
        <v>58</v>
      </c>
      <c r="O265" s="2" t="s">
        <v>74</v>
      </c>
      <c r="P265" s="2" t="s">
        <v>58</v>
      </c>
      <c r="Q265" s="2" t="s">
        <v>60</v>
      </c>
      <c r="R265" s="5">
        <v>2.7909722222222224</v>
      </c>
      <c r="S265" s="2" t="s">
        <v>61</v>
      </c>
      <c r="T265" s="2" t="s">
        <v>62</v>
      </c>
    </row>
    <row r="266" spans="1:20" ht="22.8" customHeight="1" x14ac:dyDescent="0.3">
      <c r="A266" s="2" t="s">
        <v>1138</v>
      </c>
      <c r="B266" s="2" t="s">
        <v>190</v>
      </c>
      <c r="C266" s="2" t="s">
        <v>191</v>
      </c>
      <c r="D266" s="3">
        <v>46192.726782407408</v>
      </c>
      <c r="E266" s="3">
        <v>46202.364201388889</v>
      </c>
      <c r="F266" s="2" t="s">
        <v>150</v>
      </c>
      <c r="G266" s="2">
        <v>3</v>
      </c>
      <c r="H266" s="2" t="s">
        <v>1139</v>
      </c>
      <c r="I266" s="4" t="s">
        <v>1140</v>
      </c>
      <c r="J266" s="2"/>
      <c r="K266" s="2" t="s">
        <v>55</v>
      </c>
      <c r="L266" s="2" t="s">
        <v>137</v>
      </c>
      <c r="M266" s="2"/>
      <c r="N266" s="2" t="s">
        <v>71</v>
      </c>
      <c r="O266" s="2" t="s">
        <v>306</v>
      </c>
      <c r="P266" s="2" t="s">
        <v>137</v>
      </c>
      <c r="Q266" s="2" t="s">
        <v>60</v>
      </c>
      <c r="R266" s="5">
        <v>2.2625000000000002</v>
      </c>
      <c r="S266" s="2" t="s">
        <v>108</v>
      </c>
      <c r="T266" s="2" t="s">
        <v>62</v>
      </c>
    </row>
    <row r="267" spans="1:20" ht="22.8" customHeight="1" x14ac:dyDescent="0.3">
      <c r="A267" s="2" t="s">
        <v>1141</v>
      </c>
      <c r="B267" s="2" t="s">
        <v>1142</v>
      </c>
      <c r="C267" s="2" t="s">
        <v>1143</v>
      </c>
      <c r="D267" s="3">
        <v>46192.735023148147</v>
      </c>
      <c r="E267" s="3">
        <v>46196.272905092592</v>
      </c>
      <c r="F267" s="2" t="s">
        <v>128</v>
      </c>
      <c r="G267" s="2">
        <v>3</v>
      </c>
      <c r="H267" s="2" t="s">
        <v>129</v>
      </c>
      <c r="I267" s="4" t="s">
        <v>1144</v>
      </c>
      <c r="J267" s="2"/>
      <c r="K267" s="2" t="s">
        <v>55</v>
      </c>
      <c r="L267" s="2" t="s">
        <v>71</v>
      </c>
      <c r="M267" s="2"/>
      <c r="N267" s="2" t="s">
        <v>71</v>
      </c>
      <c r="O267" s="2" t="s">
        <v>130</v>
      </c>
      <c r="P267" s="2" t="s">
        <v>71</v>
      </c>
      <c r="Q267" s="2" t="s">
        <v>60</v>
      </c>
      <c r="R267" s="6">
        <v>0.47361111111111109</v>
      </c>
      <c r="S267" s="2" t="s">
        <v>61</v>
      </c>
      <c r="T267" s="2" t="s">
        <v>62</v>
      </c>
    </row>
    <row r="268" spans="1:20" ht="22.8" customHeight="1" x14ac:dyDescent="0.3">
      <c r="A268" s="2" t="s">
        <v>1145</v>
      </c>
      <c r="B268" s="2" t="s">
        <v>151</v>
      </c>
      <c r="C268" s="2" t="s">
        <v>157</v>
      </c>
      <c r="D268" s="3">
        <v>46195.425821759258</v>
      </c>
      <c r="E268" s="3">
        <v>46202.675798611112</v>
      </c>
      <c r="F268" s="2" t="s">
        <v>213</v>
      </c>
      <c r="G268" s="2">
        <v>3</v>
      </c>
      <c r="H268" s="2" t="s">
        <v>1146</v>
      </c>
      <c r="I268" s="4" t="s">
        <v>1147</v>
      </c>
      <c r="J268" s="2"/>
      <c r="K268" s="2" t="s">
        <v>55</v>
      </c>
      <c r="L268" s="2" t="s">
        <v>71</v>
      </c>
      <c r="M268" s="2"/>
      <c r="N268" s="2" t="s">
        <v>71</v>
      </c>
      <c r="O268" s="2" t="s">
        <v>306</v>
      </c>
      <c r="P268" s="2" t="s">
        <v>71</v>
      </c>
      <c r="Q268" s="2" t="s">
        <v>60</v>
      </c>
      <c r="R268" s="5">
        <v>2.4375</v>
      </c>
      <c r="S268" s="2" t="s">
        <v>61</v>
      </c>
      <c r="T268" s="2" t="s">
        <v>62</v>
      </c>
    </row>
    <row r="269" spans="1:20" ht="22.8" customHeight="1" x14ac:dyDescent="0.3">
      <c r="A269" s="2" t="s">
        <v>1148</v>
      </c>
      <c r="B269" s="2" t="s">
        <v>1149</v>
      </c>
      <c r="C269" s="2" t="s">
        <v>1150</v>
      </c>
      <c r="D269" s="3">
        <v>46195.448680555557</v>
      </c>
      <c r="E269" s="3">
        <v>46203.670300925929</v>
      </c>
      <c r="F269" s="2" t="s">
        <v>97</v>
      </c>
      <c r="G269" s="2">
        <v>2</v>
      </c>
      <c r="H269" s="2" t="s">
        <v>1151</v>
      </c>
      <c r="I269" s="2"/>
      <c r="J269" s="2" t="s">
        <v>1152</v>
      </c>
      <c r="K269" s="2" t="s">
        <v>55</v>
      </c>
      <c r="L269" s="2" t="s">
        <v>105</v>
      </c>
      <c r="M269" s="2"/>
      <c r="N269" s="2" t="s">
        <v>98</v>
      </c>
      <c r="O269" s="2" t="s">
        <v>106</v>
      </c>
      <c r="P269" s="2" t="s">
        <v>105</v>
      </c>
      <c r="Q269" s="2" t="s">
        <v>60</v>
      </c>
      <c r="R269" s="5">
        <v>1.4680555555555554</v>
      </c>
      <c r="S269" s="2" t="s">
        <v>108</v>
      </c>
      <c r="T269" s="2" t="s">
        <v>62</v>
      </c>
    </row>
    <row r="270" spans="1:20" ht="22.8" customHeight="1" x14ac:dyDescent="0.3">
      <c r="A270" s="2" t="s">
        <v>1153</v>
      </c>
      <c r="B270" s="2" t="s">
        <v>1154</v>
      </c>
      <c r="C270" s="2" t="s">
        <v>1155</v>
      </c>
      <c r="D270" s="3">
        <v>46195.604953703703</v>
      </c>
      <c r="E270" s="3">
        <v>46197.579201388886</v>
      </c>
      <c r="F270" s="2" t="s">
        <v>77</v>
      </c>
      <c r="G270" s="2">
        <v>3</v>
      </c>
      <c r="H270" s="2" t="s">
        <v>1156</v>
      </c>
      <c r="I270" s="4" t="s">
        <v>188</v>
      </c>
      <c r="J270" s="2"/>
      <c r="K270" s="2" t="s">
        <v>55</v>
      </c>
      <c r="L270" s="2" t="s">
        <v>78</v>
      </c>
      <c r="M270" s="2"/>
      <c r="N270" s="2" t="s">
        <v>78</v>
      </c>
      <c r="O270" s="2" t="s">
        <v>94</v>
      </c>
      <c r="P270" s="2" t="s">
        <v>78</v>
      </c>
      <c r="Q270" s="2" t="s">
        <v>60</v>
      </c>
      <c r="R270" s="6">
        <v>0.8208333333333333</v>
      </c>
      <c r="S270" s="2" t="s">
        <v>61</v>
      </c>
      <c r="T270" s="2" t="s">
        <v>62</v>
      </c>
    </row>
    <row r="271" spans="1:20" ht="22.8" customHeight="1" x14ac:dyDescent="0.3">
      <c r="A271" s="2" t="s">
        <v>1157</v>
      </c>
      <c r="B271" s="2" t="s">
        <v>968</v>
      </c>
      <c r="C271" s="2" t="s">
        <v>969</v>
      </c>
      <c r="D271" s="3">
        <v>46195.610775462963</v>
      </c>
      <c r="E271" s="3">
        <v>46198.411249999997</v>
      </c>
      <c r="F271" s="2" t="s">
        <v>97</v>
      </c>
      <c r="G271" s="2">
        <v>2</v>
      </c>
      <c r="H271" s="2" t="s">
        <v>1158</v>
      </c>
      <c r="I271" s="2"/>
      <c r="J271" s="2"/>
      <c r="K271" s="2" t="s">
        <v>76</v>
      </c>
      <c r="L271" s="2" t="s">
        <v>105</v>
      </c>
      <c r="M271" s="2"/>
      <c r="N271" s="2" t="s">
        <v>98</v>
      </c>
      <c r="O271" s="2" t="s">
        <v>106</v>
      </c>
      <c r="P271" s="2" t="s">
        <v>105</v>
      </c>
      <c r="Q271" s="2" t="s">
        <v>60</v>
      </c>
      <c r="R271" s="5">
        <v>1.1131944444444444</v>
      </c>
      <c r="S271" s="2" t="s">
        <v>61</v>
      </c>
      <c r="T271" s="2" t="s">
        <v>62</v>
      </c>
    </row>
    <row r="272" spans="1:20" ht="22.8" customHeight="1" x14ac:dyDescent="0.3">
      <c r="A272" s="2" t="s">
        <v>1159</v>
      </c>
      <c r="B272" s="2" t="s">
        <v>968</v>
      </c>
      <c r="C272" s="2" t="s">
        <v>969</v>
      </c>
      <c r="D272" s="3">
        <v>46195.650949074072</v>
      </c>
      <c r="E272" s="3">
        <v>46197.69636574074</v>
      </c>
      <c r="F272" s="2" t="s">
        <v>97</v>
      </c>
      <c r="G272" s="2">
        <v>2</v>
      </c>
      <c r="H272" s="2" t="s">
        <v>1160</v>
      </c>
      <c r="I272" s="2"/>
      <c r="J272" s="2"/>
      <c r="K272" s="2" t="s">
        <v>76</v>
      </c>
      <c r="L272" s="2" t="s">
        <v>105</v>
      </c>
      <c r="M272" s="2"/>
      <c r="N272" s="2" t="s">
        <v>98</v>
      </c>
      <c r="O272" s="2" t="s">
        <v>106</v>
      </c>
      <c r="P272" s="2" t="s">
        <v>105</v>
      </c>
      <c r="Q272" s="2" t="s">
        <v>60</v>
      </c>
      <c r="R272" s="6">
        <v>0.92083333333333328</v>
      </c>
      <c r="S272" s="2" t="s">
        <v>61</v>
      </c>
      <c r="T272" s="2" t="s">
        <v>62</v>
      </c>
    </row>
    <row r="273" spans="1:20" ht="22.8" customHeight="1" x14ac:dyDescent="0.3">
      <c r="A273" s="2" t="s">
        <v>1161</v>
      </c>
      <c r="B273" s="2" t="s">
        <v>265</v>
      </c>
      <c r="C273" s="2" t="s">
        <v>266</v>
      </c>
      <c r="D273" s="3">
        <v>46195.693599537037</v>
      </c>
      <c r="E273" s="3">
        <v>46196.58929398148</v>
      </c>
      <c r="F273" s="2" t="s">
        <v>100</v>
      </c>
      <c r="G273" s="2">
        <v>3</v>
      </c>
      <c r="H273" s="4" t="s">
        <v>1162</v>
      </c>
      <c r="I273" s="4" t="s">
        <v>1163</v>
      </c>
      <c r="J273" s="2"/>
      <c r="K273" s="2" t="s">
        <v>55</v>
      </c>
      <c r="L273" s="2" t="s">
        <v>71</v>
      </c>
      <c r="M273" s="2"/>
      <c r="N273" s="2"/>
      <c r="O273" s="2" t="s">
        <v>265</v>
      </c>
      <c r="P273" s="2" t="s">
        <v>71</v>
      </c>
      <c r="Q273" s="2" t="s">
        <v>60</v>
      </c>
      <c r="R273" s="6">
        <v>0.33333333333333331</v>
      </c>
      <c r="S273" s="2" t="s">
        <v>61</v>
      </c>
      <c r="T273" s="2" t="s">
        <v>189</v>
      </c>
    </row>
    <row r="274" spans="1:20" ht="22.8" customHeight="1" x14ac:dyDescent="0.3">
      <c r="A274" s="2" t="s">
        <v>1164</v>
      </c>
      <c r="B274" s="2" t="s">
        <v>1129</v>
      </c>
      <c r="C274" s="2" t="s">
        <v>1130</v>
      </c>
      <c r="D274" s="3">
        <v>46195.729803240742</v>
      </c>
      <c r="E274" s="3">
        <v>46195.73982638889</v>
      </c>
      <c r="F274" s="2" t="s">
        <v>109</v>
      </c>
      <c r="G274" s="2">
        <v>3</v>
      </c>
      <c r="H274" s="4" t="s">
        <v>1165</v>
      </c>
      <c r="I274" s="4" t="s">
        <v>297</v>
      </c>
      <c r="J274" s="2"/>
      <c r="K274" s="2" t="s">
        <v>55</v>
      </c>
      <c r="L274" s="2" t="s">
        <v>119</v>
      </c>
      <c r="M274" s="2"/>
      <c r="N274" s="2" t="s">
        <v>119</v>
      </c>
      <c r="O274" s="2" t="s">
        <v>120</v>
      </c>
      <c r="P274" s="2" t="s">
        <v>119</v>
      </c>
      <c r="Q274" s="2" t="s">
        <v>60</v>
      </c>
      <c r="R274" s="6">
        <v>1.0416666666666666E-2</v>
      </c>
      <c r="S274" s="2" t="s">
        <v>61</v>
      </c>
      <c r="T274" s="2" t="s">
        <v>62</v>
      </c>
    </row>
    <row r="275" spans="1:20" ht="22.8" customHeight="1" x14ac:dyDescent="0.3">
      <c r="A275" s="2" t="s">
        <v>1166</v>
      </c>
      <c r="B275" s="2" t="s">
        <v>1167</v>
      </c>
      <c r="C275" s="2" t="s">
        <v>1168</v>
      </c>
      <c r="D275" s="3">
        <v>46195.735983796294</v>
      </c>
      <c r="E275" s="3">
        <v>46199.476736111108</v>
      </c>
      <c r="F275" s="2" t="s">
        <v>1169</v>
      </c>
      <c r="G275" s="2">
        <v>3</v>
      </c>
      <c r="H275" s="2" t="s">
        <v>1170</v>
      </c>
      <c r="I275" s="4" t="s">
        <v>1171</v>
      </c>
      <c r="J275" s="2"/>
      <c r="K275" s="2" t="s">
        <v>76</v>
      </c>
      <c r="L275" s="2" t="s">
        <v>81</v>
      </c>
      <c r="M275" s="2"/>
      <c r="N275" s="2" t="s">
        <v>1025</v>
      </c>
      <c r="O275" s="2" t="s">
        <v>89</v>
      </c>
      <c r="P275" s="2" t="s">
        <v>81</v>
      </c>
      <c r="Q275" s="2" t="s">
        <v>60</v>
      </c>
      <c r="R275" s="5">
        <v>1.4909722222222221</v>
      </c>
      <c r="S275" s="2" t="s">
        <v>61</v>
      </c>
      <c r="T275" s="2" t="s">
        <v>62</v>
      </c>
    </row>
    <row r="276" spans="1:20" ht="22.8" customHeight="1" x14ac:dyDescent="0.3">
      <c r="A276" s="2" t="s">
        <v>1172</v>
      </c>
      <c r="B276" s="2" t="s">
        <v>1173</v>
      </c>
      <c r="C276" s="2" t="s">
        <v>1174</v>
      </c>
      <c r="D276" s="3">
        <v>46195.742685185185</v>
      </c>
      <c r="E276" s="3">
        <v>46202.437685185185</v>
      </c>
      <c r="F276" s="2" t="s">
        <v>73</v>
      </c>
      <c r="G276" s="2">
        <v>2</v>
      </c>
      <c r="H276" s="2" t="s">
        <v>1175</v>
      </c>
      <c r="I276" s="4" t="s">
        <v>1176</v>
      </c>
      <c r="J276" s="2"/>
      <c r="K276" s="2" t="s">
        <v>76</v>
      </c>
      <c r="L276" s="2" t="s">
        <v>58</v>
      </c>
      <c r="M276" s="2"/>
      <c r="N276" s="2" t="s">
        <v>58</v>
      </c>
      <c r="O276" s="2" t="s">
        <v>59</v>
      </c>
      <c r="P276" s="2" t="s">
        <v>58</v>
      </c>
      <c r="Q276" s="2" t="s">
        <v>60</v>
      </c>
      <c r="R276" s="5">
        <v>1.882638888888889</v>
      </c>
      <c r="S276" s="2" t="s">
        <v>108</v>
      </c>
      <c r="T276" s="2" t="s">
        <v>62</v>
      </c>
    </row>
    <row r="277" spans="1:20" ht="22.8" customHeight="1" x14ac:dyDescent="0.3">
      <c r="A277" s="2" t="s">
        <v>1177</v>
      </c>
      <c r="B277" s="2" t="s">
        <v>167</v>
      </c>
      <c r="C277" s="2" t="s">
        <v>168</v>
      </c>
      <c r="D277" s="3">
        <v>46196.360949074071</v>
      </c>
      <c r="E277" s="3">
        <v>46198.657986111109</v>
      </c>
      <c r="F277" s="2" t="s">
        <v>100</v>
      </c>
      <c r="G277" s="2">
        <v>3</v>
      </c>
      <c r="H277" s="4" t="s">
        <v>1178</v>
      </c>
      <c r="I277" s="2"/>
      <c r="J277" s="2"/>
      <c r="K277" s="2" t="s">
        <v>55</v>
      </c>
      <c r="L277" s="2" t="s">
        <v>71</v>
      </c>
      <c r="M277" s="2"/>
      <c r="N277" s="2"/>
      <c r="O277" s="2" t="s">
        <v>167</v>
      </c>
      <c r="P277" s="2" t="s">
        <v>71</v>
      </c>
      <c r="Q277" s="2" t="s">
        <v>60</v>
      </c>
      <c r="R277" s="5">
        <v>1.1722222222222223</v>
      </c>
      <c r="S277" s="2" t="s">
        <v>61</v>
      </c>
      <c r="T277" s="2" t="s">
        <v>189</v>
      </c>
    </row>
    <row r="278" spans="1:20" ht="22.8" customHeight="1" x14ac:dyDescent="0.3">
      <c r="A278" s="2" t="s">
        <v>1179</v>
      </c>
      <c r="B278" s="2" t="s">
        <v>265</v>
      </c>
      <c r="C278" s="2" t="s">
        <v>266</v>
      </c>
      <c r="D278" s="3">
        <v>46196.437557870369</v>
      </c>
      <c r="E278" s="3">
        <v>46198.483298611114</v>
      </c>
      <c r="F278" s="2" t="s">
        <v>97</v>
      </c>
      <c r="G278" s="2">
        <v>2</v>
      </c>
      <c r="H278" s="2" t="s">
        <v>1180</v>
      </c>
      <c r="I278" s="2"/>
      <c r="J278" s="2"/>
      <c r="K278" s="2" t="s">
        <v>55</v>
      </c>
      <c r="L278" s="2" t="s">
        <v>105</v>
      </c>
      <c r="M278" s="2"/>
      <c r="N278" s="2" t="s">
        <v>98</v>
      </c>
      <c r="O278" s="2" t="s">
        <v>664</v>
      </c>
      <c r="P278" s="2" t="s">
        <v>105</v>
      </c>
      <c r="Q278" s="2" t="s">
        <v>60</v>
      </c>
      <c r="R278" s="6">
        <v>0.92083333333333328</v>
      </c>
      <c r="S278" s="2" t="s">
        <v>61</v>
      </c>
      <c r="T278" s="2" t="s">
        <v>62</v>
      </c>
    </row>
    <row r="279" spans="1:20" ht="22.8" customHeight="1" x14ac:dyDescent="0.3">
      <c r="A279" s="2" t="s">
        <v>1181</v>
      </c>
      <c r="B279" s="2" t="s">
        <v>1182</v>
      </c>
      <c r="C279" s="2" t="s">
        <v>1183</v>
      </c>
      <c r="D279" s="3">
        <v>46196.495243055557</v>
      </c>
      <c r="E279" s="3">
        <v>46199.361261574071</v>
      </c>
      <c r="F279" s="2" t="s">
        <v>88</v>
      </c>
      <c r="G279" s="2">
        <v>3</v>
      </c>
      <c r="H279" s="2" t="s">
        <v>1184</v>
      </c>
      <c r="I279" s="4" t="s">
        <v>1185</v>
      </c>
      <c r="J279" s="2"/>
      <c r="K279" s="2" t="s">
        <v>67</v>
      </c>
      <c r="L279" s="2" t="s">
        <v>78</v>
      </c>
      <c r="M279" s="2"/>
      <c r="N279" s="2" t="s">
        <v>79</v>
      </c>
      <c r="O279" s="2" t="s">
        <v>80</v>
      </c>
      <c r="P279" s="2" t="s">
        <v>78</v>
      </c>
      <c r="Q279" s="2" t="s">
        <v>60</v>
      </c>
      <c r="R279" s="5">
        <v>1.1312500000000001</v>
      </c>
      <c r="S279" s="2" t="s">
        <v>61</v>
      </c>
      <c r="T279" s="2" t="s">
        <v>62</v>
      </c>
    </row>
    <row r="280" spans="1:20" ht="22.8" customHeight="1" x14ac:dyDescent="0.3">
      <c r="A280" s="2" t="s">
        <v>1186</v>
      </c>
      <c r="B280" s="2" t="s">
        <v>1187</v>
      </c>
      <c r="C280" s="2" t="s">
        <v>1188</v>
      </c>
      <c r="D280" s="3">
        <v>46196.595879629633</v>
      </c>
      <c r="E280" s="3">
        <v>46202.454629629632</v>
      </c>
      <c r="F280" s="2" t="s">
        <v>77</v>
      </c>
      <c r="G280" s="2">
        <v>2</v>
      </c>
      <c r="H280" s="2" t="s">
        <v>1189</v>
      </c>
      <c r="I280" s="4" t="s">
        <v>1190</v>
      </c>
      <c r="J280" s="2"/>
      <c r="K280" s="2" t="s">
        <v>55</v>
      </c>
      <c r="L280" s="2" t="s">
        <v>78</v>
      </c>
      <c r="M280" s="2"/>
      <c r="N280" s="2" t="s">
        <v>78</v>
      </c>
      <c r="O280" s="2" t="s">
        <v>103</v>
      </c>
      <c r="P280" s="2" t="s">
        <v>78</v>
      </c>
      <c r="Q280" s="2" t="s">
        <v>60</v>
      </c>
      <c r="R280" s="5">
        <v>1.6090277777777777</v>
      </c>
      <c r="S280" s="2" t="s">
        <v>61</v>
      </c>
      <c r="T280" s="2" t="s">
        <v>62</v>
      </c>
    </row>
    <row r="281" spans="1:20" ht="22.8" customHeight="1" x14ac:dyDescent="0.3">
      <c r="A281" s="2" t="s">
        <v>1191</v>
      </c>
      <c r="B281" s="2" t="s">
        <v>68</v>
      </c>
      <c r="C281" s="2" t="s">
        <v>69</v>
      </c>
      <c r="D281" s="3">
        <v>46196.603865740741</v>
      </c>
      <c r="E281" s="3">
        <v>46203.583923611113</v>
      </c>
      <c r="F281" s="2" t="s">
        <v>487</v>
      </c>
      <c r="G281" s="2">
        <v>3</v>
      </c>
      <c r="H281" s="2" t="s">
        <v>1192</v>
      </c>
      <c r="I281" s="4" t="s">
        <v>1193</v>
      </c>
      <c r="J281" s="2"/>
      <c r="K281" s="2" t="s">
        <v>55</v>
      </c>
      <c r="L281" s="2" t="s">
        <v>71</v>
      </c>
      <c r="M281" s="2"/>
      <c r="N281" s="2" t="s">
        <v>156</v>
      </c>
      <c r="O281" s="2" t="s">
        <v>153</v>
      </c>
      <c r="P281" s="2" t="s">
        <v>71</v>
      </c>
      <c r="Q281" s="2" t="s">
        <v>60</v>
      </c>
      <c r="R281" s="5">
        <v>2.1680555555555556</v>
      </c>
      <c r="S281" s="2" t="s">
        <v>108</v>
      </c>
      <c r="T281" s="2" t="s">
        <v>62</v>
      </c>
    </row>
    <row r="282" spans="1:20" ht="22.8" customHeight="1" x14ac:dyDescent="0.3">
      <c r="A282" s="2" t="s">
        <v>1194</v>
      </c>
      <c r="B282" s="2" t="s">
        <v>1111</v>
      </c>
      <c r="C282" s="2" t="s">
        <v>1112</v>
      </c>
      <c r="D282" s="3">
        <v>46196.610509259262</v>
      </c>
      <c r="E282" s="3">
        <v>46197.35392361111</v>
      </c>
      <c r="F282" s="2" t="s">
        <v>63</v>
      </c>
      <c r="G282" s="2">
        <v>2</v>
      </c>
      <c r="H282" s="2" t="s">
        <v>1195</v>
      </c>
      <c r="I282" s="2"/>
      <c r="J282" s="2"/>
      <c r="K282" s="2" t="s">
        <v>76</v>
      </c>
      <c r="L282" s="2" t="s">
        <v>58</v>
      </c>
      <c r="M282" s="2"/>
      <c r="N282" s="2" t="s">
        <v>137</v>
      </c>
      <c r="O282" s="2" t="s">
        <v>151</v>
      </c>
      <c r="P282" s="2" t="s">
        <v>58</v>
      </c>
      <c r="Q282" s="2" t="s">
        <v>60</v>
      </c>
      <c r="R282" s="6">
        <v>0.20208333333333334</v>
      </c>
      <c r="S282" s="2" t="s">
        <v>61</v>
      </c>
      <c r="T282" s="2" t="s">
        <v>62</v>
      </c>
    </row>
    <row r="283" spans="1:20" ht="22.8" customHeight="1" x14ac:dyDescent="0.3">
      <c r="A283" s="2" t="s">
        <v>1196</v>
      </c>
      <c r="B283" s="2" t="s">
        <v>1182</v>
      </c>
      <c r="C283" s="2" t="s">
        <v>1183</v>
      </c>
      <c r="D283" s="3">
        <v>46196.646111111113</v>
      </c>
      <c r="E283" s="3">
        <v>46196.714062500003</v>
      </c>
      <c r="F283" s="2" t="s">
        <v>121</v>
      </c>
      <c r="G283" s="2">
        <v>2</v>
      </c>
      <c r="H283" s="2" t="s">
        <v>1197</v>
      </c>
      <c r="I283" s="4" t="s">
        <v>1198</v>
      </c>
      <c r="J283" s="2"/>
      <c r="K283" s="2" t="s">
        <v>67</v>
      </c>
      <c r="L283" s="2" t="s">
        <v>78</v>
      </c>
      <c r="M283" s="2"/>
      <c r="N283" s="2" t="s">
        <v>79</v>
      </c>
      <c r="O283" s="2" t="s">
        <v>80</v>
      </c>
      <c r="P283" s="2" t="s">
        <v>78</v>
      </c>
      <c r="Q283" s="2" t="s">
        <v>60</v>
      </c>
      <c r="R283" s="6">
        <v>6.805555555555555E-2</v>
      </c>
      <c r="S283" s="2" t="s">
        <v>61</v>
      </c>
      <c r="T283" s="2" t="s">
        <v>62</v>
      </c>
    </row>
    <row r="284" spans="1:20" ht="22.8" customHeight="1" x14ac:dyDescent="0.3">
      <c r="A284" s="2" t="s">
        <v>1199</v>
      </c>
      <c r="B284" s="2" t="s">
        <v>1063</v>
      </c>
      <c r="C284" s="2" t="s">
        <v>1064</v>
      </c>
      <c r="D284" s="3">
        <v>46196.659108796295</v>
      </c>
      <c r="E284" s="3">
        <v>46197.355578703704</v>
      </c>
      <c r="F284" s="2" t="s">
        <v>77</v>
      </c>
      <c r="G284" s="2">
        <v>2</v>
      </c>
      <c r="H284" s="2" t="s">
        <v>1200</v>
      </c>
      <c r="I284" s="4" t="s">
        <v>1201</v>
      </c>
      <c r="J284" s="2"/>
      <c r="K284" s="2" t="s">
        <v>76</v>
      </c>
      <c r="L284" s="2" t="s">
        <v>81</v>
      </c>
      <c r="M284" s="2"/>
      <c r="N284" s="2" t="s">
        <v>81</v>
      </c>
      <c r="O284" s="2" t="s">
        <v>90</v>
      </c>
      <c r="P284" s="2" t="s">
        <v>81</v>
      </c>
      <c r="Q284" s="2" t="s">
        <v>60</v>
      </c>
      <c r="R284" s="6">
        <v>0.13402777777777777</v>
      </c>
      <c r="S284" s="2" t="s">
        <v>61</v>
      </c>
      <c r="T284" s="2" t="s">
        <v>62</v>
      </c>
    </row>
    <row r="285" spans="1:20" ht="22.8" customHeight="1" x14ac:dyDescent="0.3">
      <c r="A285" s="2" t="s">
        <v>1202</v>
      </c>
      <c r="B285" s="2" t="s">
        <v>80</v>
      </c>
      <c r="C285" s="2" t="s">
        <v>655</v>
      </c>
      <c r="D285" s="3">
        <v>46196.680798611109</v>
      </c>
      <c r="E285" s="3">
        <v>46197.691712962966</v>
      </c>
      <c r="F285" s="2" t="s">
        <v>63</v>
      </c>
      <c r="G285" s="2">
        <v>3</v>
      </c>
      <c r="H285" s="2" t="s">
        <v>656</v>
      </c>
      <c r="I285" s="4" t="s">
        <v>64</v>
      </c>
      <c r="J285" s="2"/>
      <c r="K285" s="2" t="s">
        <v>67</v>
      </c>
      <c r="L285" s="2" t="s">
        <v>58</v>
      </c>
      <c r="M285" s="2"/>
      <c r="N285" s="2" t="s">
        <v>58</v>
      </c>
      <c r="O285" s="2" t="s">
        <v>65</v>
      </c>
      <c r="P285" s="2" t="s">
        <v>58</v>
      </c>
      <c r="Q285" s="2" t="s">
        <v>60</v>
      </c>
      <c r="R285" s="6">
        <v>0.46944444444444444</v>
      </c>
      <c r="S285" s="2" t="s">
        <v>61</v>
      </c>
      <c r="T285" s="2" t="s">
        <v>62</v>
      </c>
    </row>
    <row r="286" spans="1:20" ht="22.8" customHeight="1" x14ac:dyDescent="0.3">
      <c r="A286" s="2" t="s">
        <v>1203</v>
      </c>
      <c r="B286" s="2" t="s">
        <v>144</v>
      </c>
      <c r="C286" s="2" t="s">
        <v>145</v>
      </c>
      <c r="D286" s="3">
        <v>46196.751377314817</v>
      </c>
      <c r="E286" s="3">
        <v>46203.209849537037</v>
      </c>
      <c r="F286" s="2" t="s">
        <v>187</v>
      </c>
      <c r="G286" s="2">
        <v>3</v>
      </c>
      <c r="H286" s="2" t="s">
        <v>1204</v>
      </c>
      <c r="I286" s="4" t="s">
        <v>1205</v>
      </c>
      <c r="J286" s="2"/>
      <c r="K286" s="2" t="s">
        <v>55</v>
      </c>
      <c r="L286" s="2" t="s">
        <v>58</v>
      </c>
      <c r="M286" s="2"/>
      <c r="N286" s="2" t="s">
        <v>58</v>
      </c>
      <c r="O286" s="2" t="s">
        <v>74</v>
      </c>
      <c r="P286" s="2" t="s">
        <v>58</v>
      </c>
      <c r="Q286" s="2" t="s">
        <v>60</v>
      </c>
      <c r="R286" s="5">
        <v>1.7229166666666667</v>
      </c>
      <c r="S286" s="2" t="s">
        <v>108</v>
      </c>
      <c r="T286" s="2" t="s">
        <v>62</v>
      </c>
    </row>
    <row r="287" spans="1:20" ht="22.8" customHeight="1" x14ac:dyDescent="0.3">
      <c r="A287" s="2" t="s">
        <v>1206</v>
      </c>
      <c r="B287" s="2" t="s">
        <v>68</v>
      </c>
      <c r="C287" s="2" t="s">
        <v>69</v>
      </c>
      <c r="D287" s="3">
        <v>46197.404189814813</v>
      </c>
      <c r="E287" s="3">
        <v>46199.351111111115</v>
      </c>
      <c r="F287" s="2" t="s">
        <v>70</v>
      </c>
      <c r="G287" s="2">
        <v>3</v>
      </c>
      <c r="H287" s="2" t="s">
        <v>1207</v>
      </c>
      <c r="I287" s="2"/>
      <c r="J287" s="2"/>
      <c r="K287" s="2" t="s">
        <v>55</v>
      </c>
      <c r="L287" s="2" t="s">
        <v>71</v>
      </c>
      <c r="M287" s="2"/>
      <c r="N287" s="2" t="s">
        <v>71</v>
      </c>
      <c r="O287" s="2" t="s">
        <v>242</v>
      </c>
      <c r="P287" s="2" t="s">
        <v>71</v>
      </c>
      <c r="Q287" s="2" t="s">
        <v>60</v>
      </c>
      <c r="R287" s="6">
        <v>0.82222222222222219</v>
      </c>
      <c r="S287" s="2" t="s">
        <v>61</v>
      </c>
      <c r="T287" s="2" t="s">
        <v>62</v>
      </c>
    </row>
    <row r="288" spans="1:20" ht="22.8" customHeight="1" x14ac:dyDescent="0.3">
      <c r="A288" s="2" t="s">
        <v>1208</v>
      </c>
      <c r="B288" s="2" t="s">
        <v>1209</v>
      </c>
      <c r="C288" s="2" t="s">
        <v>1210</v>
      </c>
      <c r="D288" s="3">
        <v>46197.465162037035</v>
      </c>
      <c r="E288" s="3">
        <v>46198.372256944444</v>
      </c>
      <c r="F288" s="2" t="s">
        <v>154</v>
      </c>
      <c r="G288" s="2">
        <v>3</v>
      </c>
      <c r="H288" s="2" t="s">
        <v>155</v>
      </c>
      <c r="I288" s="4" t="s">
        <v>1211</v>
      </c>
      <c r="J288" s="2"/>
      <c r="K288" s="2" t="s">
        <v>76</v>
      </c>
      <c r="L288" s="2" t="s">
        <v>81</v>
      </c>
      <c r="M288" s="2"/>
      <c r="N288" s="2" t="s">
        <v>156</v>
      </c>
      <c r="O288" s="2" t="s">
        <v>153</v>
      </c>
      <c r="P288" s="2" t="s">
        <v>81</v>
      </c>
      <c r="Q288" s="2" t="s">
        <v>60</v>
      </c>
      <c r="R288" s="6">
        <v>0.34513888888888888</v>
      </c>
      <c r="S288" s="2" t="s">
        <v>61</v>
      </c>
      <c r="T288" s="2" t="s">
        <v>62</v>
      </c>
    </row>
    <row r="289" spans="1:20" ht="22.8" customHeight="1" x14ac:dyDescent="0.3">
      <c r="A289" s="2" t="s">
        <v>1212</v>
      </c>
      <c r="B289" s="2" t="s">
        <v>167</v>
      </c>
      <c r="C289" s="2" t="s">
        <v>168</v>
      </c>
      <c r="D289" s="3">
        <v>46197.479537037034</v>
      </c>
      <c r="E289" s="3">
        <v>46199.353078703702</v>
      </c>
      <c r="F289" s="2" t="s">
        <v>70</v>
      </c>
      <c r="G289" s="2">
        <v>3</v>
      </c>
      <c r="H289" s="2" t="s">
        <v>1213</v>
      </c>
      <c r="I289" s="2"/>
      <c r="J289" s="2"/>
      <c r="K289" s="2" t="s">
        <v>55</v>
      </c>
      <c r="L289" s="2" t="s">
        <v>71</v>
      </c>
      <c r="M289" s="2"/>
      <c r="N289" s="2" t="s">
        <v>71</v>
      </c>
      <c r="O289" s="2" t="s">
        <v>242</v>
      </c>
      <c r="P289" s="2" t="s">
        <v>71</v>
      </c>
      <c r="Q289" s="2" t="s">
        <v>60</v>
      </c>
      <c r="R289" s="6">
        <v>0.74861111111111112</v>
      </c>
      <c r="S289" s="2" t="s">
        <v>61</v>
      </c>
      <c r="T289" s="2" t="s">
        <v>62</v>
      </c>
    </row>
    <row r="290" spans="1:20" ht="22.8" customHeight="1" x14ac:dyDescent="0.3">
      <c r="A290" s="2" t="s">
        <v>1214</v>
      </c>
      <c r="B290" s="2" t="s">
        <v>196</v>
      </c>
      <c r="C290" s="2" t="s">
        <v>197</v>
      </c>
      <c r="D290" s="3">
        <v>46197.505416666667</v>
      </c>
      <c r="E290" s="3">
        <v>46203.367013888892</v>
      </c>
      <c r="F290" s="2" t="s">
        <v>121</v>
      </c>
      <c r="G290" s="2">
        <v>2</v>
      </c>
      <c r="H290" s="2" t="s">
        <v>122</v>
      </c>
      <c r="I290" s="4" t="s">
        <v>505</v>
      </c>
      <c r="J290" s="2"/>
      <c r="K290" s="2" t="s">
        <v>76</v>
      </c>
      <c r="L290" s="2" t="s">
        <v>81</v>
      </c>
      <c r="M290" s="2"/>
      <c r="N290" s="2" t="s">
        <v>81</v>
      </c>
      <c r="O290" s="2" t="s">
        <v>90</v>
      </c>
      <c r="P290" s="2" t="s">
        <v>81</v>
      </c>
      <c r="Q290" s="2" t="s">
        <v>60</v>
      </c>
      <c r="R290" s="5">
        <v>1.6118055555555555</v>
      </c>
      <c r="S290" s="2" t="s">
        <v>108</v>
      </c>
      <c r="T290" s="2" t="s">
        <v>62</v>
      </c>
    </row>
    <row r="291" spans="1:20" ht="22.8" customHeight="1" x14ac:dyDescent="0.3">
      <c r="A291" s="2" t="s">
        <v>1215</v>
      </c>
      <c r="B291" s="2" t="s">
        <v>435</v>
      </c>
      <c r="C291" s="2" t="s">
        <v>436</v>
      </c>
      <c r="D291" s="3">
        <v>46197.562141203707</v>
      </c>
      <c r="E291" s="3">
        <v>46197.676238425927</v>
      </c>
      <c r="F291" s="2" t="s">
        <v>128</v>
      </c>
      <c r="G291" s="2">
        <v>3</v>
      </c>
      <c r="H291" s="2" t="s">
        <v>129</v>
      </c>
      <c r="I291" s="4" t="s">
        <v>219</v>
      </c>
      <c r="J291" s="2"/>
      <c r="K291" s="2" t="s">
        <v>55</v>
      </c>
      <c r="L291" s="2" t="s">
        <v>71</v>
      </c>
      <c r="M291" s="2"/>
      <c r="N291" s="2" t="s">
        <v>71</v>
      </c>
      <c r="O291" s="2" t="s">
        <v>130</v>
      </c>
      <c r="P291" s="2" t="s">
        <v>71</v>
      </c>
      <c r="Q291" s="2" t="s">
        <v>60</v>
      </c>
      <c r="R291" s="6">
        <v>0.11458333333333333</v>
      </c>
      <c r="S291" s="2" t="s">
        <v>61</v>
      </c>
      <c r="T291" s="2" t="s">
        <v>62</v>
      </c>
    </row>
    <row r="292" spans="1:20" ht="22.8" customHeight="1" x14ac:dyDescent="0.3">
      <c r="A292" s="2" t="s">
        <v>1216</v>
      </c>
      <c r="B292" s="2" t="s">
        <v>1217</v>
      </c>
      <c r="C292" s="2" t="s">
        <v>1218</v>
      </c>
      <c r="D292" s="3">
        <v>46197.718657407408</v>
      </c>
      <c r="E292" s="3">
        <v>46203.619814814818</v>
      </c>
      <c r="F292" s="2" t="s">
        <v>99</v>
      </c>
      <c r="G292" s="2">
        <v>3</v>
      </c>
      <c r="H292" s="2" t="s">
        <v>1219</v>
      </c>
      <c r="I292" s="4" t="s">
        <v>1220</v>
      </c>
      <c r="J292" s="2"/>
      <c r="K292" s="2" t="s">
        <v>76</v>
      </c>
      <c r="L292" s="2" t="s">
        <v>81</v>
      </c>
      <c r="M292" s="2"/>
      <c r="N292" s="2" t="s">
        <v>81</v>
      </c>
      <c r="O292" s="2" t="s">
        <v>90</v>
      </c>
      <c r="P292" s="2" t="s">
        <v>81</v>
      </c>
      <c r="Q292" s="2" t="s">
        <v>60</v>
      </c>
      <c r="R292" s="5">
        <v>1.6513888888888888</v>
      </c>
      <c r="S292" s="2" t="s">
        <v>108</v>
      </c>
      <c r="T292" s="2" t="s">
        <v>62</v>
      </c>
    </row>
    <row r="293" spans="1:20" ht="22.8" customHeight="1" x14ac:dyDescent="0.3">
      <c r="A293" s="2" t="s">
        <v>1221</v>
      </c>
      <c r="B293" s="2" t="s">
        <v>1154</v>
      </c>
      <c r="C293" s="2" t="s">
        <v>1155</v>
      </c>
      <c r="D293" s="3">
        <v>46198.411550925928</v>
      </c>
      <c r="E293" s="3">
        <v>46202.453043981484</v>
      </c>
      <c r="F293" s="2" t="s">
        <v>77</v>
      </c>
      <c r="G293" s="2">
        <v>3</v>
      </c>
      <c r="H293" s="2" t="s">
        <v>1222</v>
      </c>
      <c r="I293" s="4" t="s">
        <v>1223</v>
      </c>
      <c r="J293" s="2"/>
      <c r="K293" s="2" t="s">
        <v>55</v>
      </c>
      <c r="L293" s="2" t="s">
        <v>78</v>
      </c>
      <c r="M293" s="2"/>
      <c r="N293" s="2" t="s">
        <v>78</v>
      </c>
      <c r="O293" s="2" t="s">
        <v>103</v>
      </c>
      <c r="P293" s="2" t="s">
        <v>78</v>
      </c>
      <c r="Q293" s="2" t="s">
        <v>60</v>
      </c>
      <c r="R293" s="6">
        <v>0.91666666666666663</v>
      </c>
      <c r="S293" s="2" t="s">
        <v>61</v>
      </c>
      <c r="T293" s="2" t="s">
        <v>62</v>
      </c>
    </row>
    <row r="294" spans="1:20" ht="22.8" customHeight="1" x14ac:dyDescent="0.3">
      <c r="A294" s="2" t="s">
        <v>1224</v>
      </c>
      <c r="B294" s="2" t="s">
        <v>373</v>
      </c>
      <c r="C294" s="2" t="s">
        <v>374</v>
      </c>
      <c r="D294" s="3">
        <v>46198.450833333336</v>
      </c>
      <c r="E294" s="3">
        <v>46203.361620370371</v>
      </c>
      <c r="F294" s="2" t="s">
        <v>123</v>
      </c>
      <c r="G294" s="2">
        <v>3</v>
      </c>
      <c r="H294" s="2" t="s">
        <v>133</v>
      </c>
      <c r="I294" s="4" t="s">
        <v>1225</v>
      </c>
      <c r="J294" s="2"/>
      <c r="K294" s="2" t="s">
        <v>76</v>
      </c>
      <c r="L294" s="2" t="s">
        <v>81</v>
      </c>
      <c r="M294" s="2"/>
      <c r="N294" s="2" t="s">
        <v>81</v>
      </c>
      <c r="O294" s="2" t="s">
        <v>90</v>
      </c>
      <c r="P294" s="2" t="s">
        <v>81</v>
      </c>
      <c r="Q294" s="2" t="s">
        <v>60</v>
      </c>
      <c r="R294" s="5">
        <v>1.2236111111111112</v>
      </c>
      <c r="S294" s="2" t="s">
        <v>108</v>
      </c>
      <c r="T294" s="2" t="s">
        <v>62</v>
      </c>
    </row>
    <row r="295" spans="1:20" ht="22.8" customHeight="1" x14ac:dyDescent="0.3">
      <c r="A295" s="2" t="s">
        <v>1229</v>
      </c>
      <c r="B295" s="2" t="s">
        <v>1230</v>
      </c>
      <c r="C295" s="2" t="s">
        <v>1231</v>
      </c>
      <c r="D295" s="3">
        <v>46198.65896990741</v>
      </c>
      <c r="E295" s="3">
        <v>46203.409872685188</v>
      </c>
      <c r="F295" s="2" t="s">
        <v>109</v>
      </c>
      <c r="G295" s="2">
        <v>2</v>
      </c>
      <c r="H295" s="4" t="s">
        <v>1232</v>
      </c>
      <c r="I295" s="2"/>
      <c r="J295" s="2"/>
      <c r="K295" s="2" t="s">
        <v>76</v>
      </c>
      <c r="L295" s="2" t="s">
        <v>110</v>
      </c>
      <c r="M295" s="2"/>
      <c r="N295" s="2" t="s">
        <v>110</v>
      </c>
      <c r="O295" s="2" t="s">
        <v>111</v>
      </c>
      <c r="P295" s="2" t="s">
        <v>110</v>
      </c>
      <c r="Q295" s="2" t="s">
        <v>60</v>
      </c>
      <c r="R295" s="5">
        <v>1.0638888888888889</v>
      </c>
      <c r="S295" s="2" t="s">
        <v>108</v>
      </c>
      <c r="T295" s="2" t="s">
        <v>62</v>
      </c>
    </row>
    <row r="296" spans="1:20" ht="22.8" customHeight="1" x14ac:dyDescent="0.3">
      <c r="A296" s="2" t="s">
        <v>1233</v>
      </c>
      <c r="B296" s="2" t="s">
        <v>167</v>
      </c>
      <c r="C296" s="2" t="s">
        <v>168</v>
      </c>
      <c r="D296" s="3">
        <v>46198.666168981479</v>
      </c>
      <c r="E296" s="3">
        <v>46202.5153587963</v>
      </c>
      <c r="F296" s="2" t="s">
        <v>70</v>
      </c>
      <c r="G296" s="2">
        <v>3</v>
      </c>
      <c r="H296" s="2" t="s">
        <v>1234</v>
      </c>
      <c r="I296" s="2"/>
      <c r="J296" s="2"/>
      <c r="K296" s="2" t="s">
        <v>55</v>
      </c>
      <c r="L296" s="2" t="s">
        <v>71</v>
      </c>
      <c r="M296" s="2"/>
      <c r="N296" s="2" t="s">
        <v>71</v>
      </c>
      <c r="O296" s="2" t="s">
        <v>104</v>
      </c>
      <c r="P296" s="2" t="s">
        <v>71</v>
      </c>
      <c r="Q296" s="2" t="s">
        <v>60</v>
      </c>
      <c r="R296" s="6">
        <v>0.72430555555555554</v>
      </c>
      <c r="S296" s="2" t="s">
        <v>61</v>
      </c>
      <c r="T296" s="2" t="s">
        <v>62</v>
      </c>
    </row>
    <row r="297" spans="1:20" ht="22.8" customHeight="1" x14ac:dyDescent="0.3">
      <c r="A297" s="2" t="s">
        <v>1235</v>
      </c>
      <c r="B297" s="2" t="s">
        <v>214</v>
      </c>
      <c r="C297" s="2" t="s">
        <v>215</v>
      </c>
      <c r="D297" s="3">
        <v>46199.446331018517</v>
      </c>
      <c r="E297" s="3">
        <v>46203.380046296297</v>
      </c>
      <c r="F297" s="2" t="s">
        <v>77</v>
      </c>
      <c r="G297" s="2">
        <v>2</v>
      </c>
      <c r="H297" s="2" t="s">
        <v>1236</v>
      </c>
      <c r="I297" s="4" t="s">
        <v>1237</v>
      </c>
      <c r="J297" s="2"/>
      <c r="K297" s="2" t="s">
        <v>67</v>
      </c>
      <c r="L297" s="2" t="s">
        <v>78</v>
      </c>
      <c r="M297" s="2"/>
      <c r="N297" s="2" t="s">
        <v>79</v>
      </c>
      <c r="O297" s="2" t="s">
        <v>80</v>
      </c>
      <c r="P297" s="2" t="s">
        <v>78</v>
      </c>
      <c r="Q297" s="2" t="s">
        <v>60</v>
      </c>
      <c r="R297" s="6">
        <v>0.74722222222222223</v>
      </c>
      <c r="S297" s="2" t="s">
        <v>108</v>
      </c>
      <c r="T297" s="2" t="s">
        <v>62</v>
      </c>
    </row>
    <row r="298" spans="1:20" ht="22.8" customHeight="1" x14ac:dyDescent="0.3">
      <c r="A298" s="2" t="s">
        <v>1238</v>
      </c>
      <c r="B298" s="2" t="s">
        <v>167</v>
      </c>
      <c r="C298" s="2" t="s">
        <v>168</v>
      </c>
      <c r="D298" s="3">
        <v>46199.46162037037</v>
      </c>
      <c r="E298" s="3">
        <v>46202.514918981484</v>
      </c>
      <c r="F298" s="2" t="s">
        <v>70</v>
      </c>
      <c r="G298" s="2">
        <v>3</v>
      </c>
      <c r="H298" s="2" t="s">
        <v>1239</v>
      </c>
      <c r="I298" s="2"/>
      <c r="J298" s="2"/>
      <c r="K298" s="2" t="s">
        <v>55</v>
      </c>
      <c r="L298" s="2" t="s">
        <v>71</v>
      </c>
      <c r="M298" s="2"/>
      <c r="N298" s="2" t="s">
        <v>71</v>
      </c>
      <c r="O298" s="2" t="s">
        <v>104</v>
      </c>
      <c r="P298" s="2" t="s">
        <v>71</v>
      </c>
      <c r="Q298" s="2" t="s">
        <v>60</v>
      </c>
      <c r="R298" s="6">
        <v>0.4909722222222222</v>
      </c>
      <c r="S298" s="2" t="s">
        <v>61</v>
      </c>
      <c r="T298" s="2" t="s">
        <v>62</v>
      </c>
    </row>
    <row r="299" spans="1:20" ht="22.8" customHeight="1" x14ac:dyDescent="0.3">
      <c r="A299" s="2" t="s">
        <v>1240</v>
      </c>
      <c r="B299" s="2" t="s">
        <v>167</v>
      </c>
      <c r="C299" s="2" t="s">
        <v>168</v>
      </c>
      <c r="D299" s="3">
        <v>46199.462511574071</v>
      </c>
      <c r="E299" s="3">
        <v>46202.514432870368</v>
      </c>
      <c r="F299" s="2" t="s">
        <v>70</v>
      </c>
      <c r="G299" s="2">
        <v>3</v>
      </c>
      <c r="H299" s="2" t="s">
        <v>1241</v>
      </c>
      <c r="I299" s="2"/>
      <c r="J299" s="2"/>
      <c r="K299" s="2" t="s">
        <v>55</v>
      </c>
      <c r="L299" s="2" t="s">
        <v>71</v>
      </c>
      <c r="M299" s="2"/>
      <c r="N299" s="2" t="s">
        <v>71</v>
      </c>
      <c r="O299" s="2" t="s">
        <v>104</v>
      </c>
      <c r="P299" s="2" t="s">
        <v>71</v>
      </c>
      <c r="Q299" s="2" t="s">
        <v>60</v>
      </c>
      <c r="R299" s="6">
        <v>0.48958333333333331</v>
      </c>
      <c r="S299" s="2" t="s">
        <v>61</v>
      </c>
      <c r="T299" s="2" t="s">
        <v>62</v>
      </c>
    </row>
    <row r="300" spans="1:20" ht="22.8" customHeight="1" x14ac:dyDescent="0.3">
      <c r="A300" s="2" t="s">
        <v>1251</v>
      </c>
      <c r="B300" s="2" t="s">
        <v>80</v>
      </c>
      <c r="C300" s="2" t="s">
        <v>655</v>
      </c>
      <c r="D300" s="3">
        <v>46202.607604166667</v>
      </c>
      <c r="E300" s="3">
        <v>46203.664166666669</v>
      </c>
      <c r="F300" s="2" t="s">
        <v>63</v>
      </c>
      <c r="G300" s="2">
        <v>3</v>
      </c>
      <c r="H300" s="2" t="s">
        <v>656</v>
      </c>
      <c r="I300" s="4" t="s">
        <v>1252</v>
      </c>
      <c r="J300" s="2"/>
      <c r="K300" s="2" t="s">
        <v>67</v>
      </c>
      <c r="L300" s="2" t="s">
        <v>58</v>
      </c>
      <c r="M300" s="2"/>
      <c r="N300" s="2" t="s">
        <v>58</v>
      </c>
      <c r="O300" s="2" t="s">
        <v>59</v>
      </c>
      <c r="P300" s="2" t="s">
        <v>58</v>
      </c>
      <c r="Q300" s="2" t="s">
        <v>60</v>
      </c>
      <c r="R300" s="6">
        <v>0.51527777777777772</v>
      </c>
      <c r="S300" s="2" t="s">
        <v>108</v>
      </c>
      <c r="T300" s="2" t="s">
        <v>62</v>
      </c>
    </row>
    <row r="301" spans="1:20" ht="22.8" customHeight="1" x14ac:dyDescent="0.3">
      <c r="A301" s="2" t="s">
        <v>1255</v>
      </c>
      <c r="B301" s="2" t="s">
        <v>1256</v>
      </c>
      <c r="C301" s="2" t="s">
        <v>1257</v>
      </c>
      <c r="D301" s="3">
        <v>46202.630601851852</v>
      </c>
      <c r="E301" s="3">
        <v>46203.395937499998</v>
      </c>
      <c r="F301" s="2" t="s">
        <v>63</v>
      </c>
      <c r="G301" s="2">
        <v>3</v>
      </c>
      <c r="H301" s="2" t="s">
        <v>949</v>
      </c>
      <c r="I301" s="4" t="s">
        <v>183</v>
      </c>
      <c r="J301" s="2"/>
      <c r="K301" s="2" t="s">
        <v>67</v>
      </c>
      <c r="L301" s="2" t="s">
        <v>58</v>
      </c>
      <c r="M301" s="2"/>
      <c r="N301" s="2" t="s">
        <v>58</v>
      </c>
      <c r="O301" s="2" t="s">
        <v>59</v>
      </c>
      <c r="P301" s="2" t="s">
        <v>58</v>
      </c>
      <c r="Q301" s="2" t="s">
        <v>60</v>
      </c>
      <c r="R301" s="6">
        <v>0.22430555555555556</v>
      </c>
      <c r="S301" s="2" t="s">
        <v>61</v>
      </c>
      <c r="T301" s="2" t="s">
        <v>62</v>
      </c>
    </row>
    <row r="302" spans="1:20" ht="22.8" customHeight="1" x14ac:dyDescent="0.3">
      <c r="A302" s="2" t="s">
        <v>1258</v>
      </c>
      <c r="B302" s="2" t="s">
        <v>1256</v>
      </c>
      <c r="C302" s="2" t="s">
        <v>1257</v>
      </c>
      <c r="D302" s="3">
        <v>46202.631423611114</v>
      </c>
      <c r="E302" s="3">
        <v>46202.652361111112</v>
      </c>
      <c r="F302" s="2" t="s">
        <v>56</v>
      </c>
      <c r="G302" s="2">
        <v>3</v>
      </c>
      <c r="H302" s="2" t="s">
        <v>57</v>
      </c>
      <c r="I302" s="4" t="s">
        <v>740</v>
      </c>
      <c r="J302" s="2"/>
      <c r="K302" s="2" t="s">
        <v>67</v>
      </c>
      <c r="L302" s="2" t="s">
        <v>58</v>
      </c>
      <c r="M302" s="2"/>
      <c r="N302" s="2" t="s">
        <v>58</v>
      </c>
      <c r="O302" s="2" t="s">
        <v>59</v>
      </c>
      <c r="P302" s="2" t="s">
        <v>58</v>
      </c>
      <c r="Q302" s="2" t="s">
        <v>60</v>
      </c>
      <c r="R302" s="6">
        <v>2.1527777777777778E-2</v>
      </c>
      <c r="S302" s="2" t="s">
        <v>108</v>
      </c>
      <c r="T302" s="2" t="s">
        <v>62</v>
      </c>
    </row>
    <row r="303" spans="1:20" ht="22.8" customHeight="1" x14ac:dyDescent="0.3">
      <c r="A303" s="2" t="s">
        <v>1259</v>
      </c>
      <c r="B303" s="2" t="s">
        <v>1260</v>
      </c>
      <c r="C303" s="2" t="s">
        <v>1261</v>
      </c>
      <c r="D303" s="3">
        <v>46202.632002314815</v>
      </c>
      <c r="E303" s="3">
        <v>46202.650405092594</v>
      </c>
      <c r="F303" s="2" t="s">
        <v>56</v>
      </c>
      <c r="G303" s="2">
        <v>3</v>
      </c>
      <c r="H303" s="2" t="s">
        <v>57</v>
      </c>
      <c r="I303" s="4" t="s">
        <v>740</v>
      </c>
      <c r="J303" s="2"/>
      <c r="K303" s="2" t="s">
        <v>67</v>
      </c>
      <c r="L303" s="2" t="s">
        <v>58</v>
      </c>
      <c r="M303" s="2"/>
      <c r="N303" s="2" t="s">
        <v>58</v>
      </c>
      <c r="O303" s="2" t="s">
        <v>59</v>
      </c>
      <c r="P303" s="2" t="s">
        <v>58</v>
      </c>
      <c r="Q303" s="2" t="s">
        <v>60</v>
      </c>
      <c r="R303" s="6">
        <v>1.8749999999999999E-2</v>
      </c>
      <c r="S303" s="2" t="s">
        <v>108</v>
      </c>
      <c r="T303" s="2" t="s">
        <v>62</v>
      </c>
    </row>
    <row r="304" spans="1:20" ht="22.8" customHeight="1" x14ac:dyDescent="0.3">
      <c r="A304" s="2" t="s">
        <v>1262</v>
      </c>
      <c r="B304" s="2" t="s">
        <v>1260</v>
      </c>
      <c r="C304" s="2" t="s">
        <v>1261</v>
      </c>
      <c r="D304" s="3">
        <v>46202.632280092592</v>
      </c>
      <c r="E304" s="3">
        <v>46203.394074074073</v>
      </c>
      <c r="F304" s="2" t="s">
        <v>63</v>
      </c>
      <c r="G304" s="2">
        <v>3</v>
      </c>
      <c r="H304" s="2" t="s">
        <v>949</v>
      </c>
      <c r="I304" s="4" t="s">
        <v>183</v>
      </c>
      <c r="J304" s="2"/>
      <c r="K304" s="2" t="s">
        <v>67</v>
      </c>
      <c r="L304" s="2" t="s">
        <v>58</v>
      </c>
      <c r="M304" s="2"/>
      <c r="N304" s="2" t="s">
        <v>58</v>
      </c>
      <c r="O304" s="2" t="s">
        <v>59</v>
      </c>
      <c r="P304" s="2" t="s">
        <v>58</v>
      </c>
      <c r="Q304" s="2" t="s">
        <v>60</v>
      </c>
      <c r="R304" s="6">
        <v>0.22013888888888888</v>
      </c>
      <c r="S304" s="2" t="s">
        <v>108</v>
      </c>
      <c r="T304" s="2" t="s">
        <v>62</v>
      </c>
    </row>
    <row r="305" spans="1:20" ht="22.8" customHeight="1" x14ac:dyDescent="0.3">
      <c r="A305" s="2" t="s">
        <v>1263</v>
      </c>
      <c r="B305" s="2" t="s">
        <v>142</v>
      </c>
      <c r="C305" s="2" t="s">
        <v>143</v>
      </c>
      <c r="D305" s="3">
        <v>46202.67459490741</v>
      </c>
      <c r="E305" s="3">
        <v>46203.641886574071</v>
      </c>
      <c r="F305" s="2" t="s">
        <v>121</v>
      </c>
      <c r="G305" s="2">
        <v>2</v>
      </c>
      <c r="H305" s="2" t="s">
        <v>140</v>
      </c>
      <c r="I305" s="4" t="s">
        <v>505</v>
      </c>
      <c r="J305" s="2"/>
      <c r="K305" s="2" t="s">
        <v>76</v>
      </c>
      <c r="L305" s="2" t="s">
        <v>81</v>
      </c>
      <c r="M305" s="2"/>
      <c r="N305" s="2" t="s">
        <v>81</v>
      </c>
      <c r="O305" s="2" t="s">
        <v>90</v>
      </c>
      <c r="P305" s="2" t="s">
        <v>81</v>
      </c>
      <c r="Q305" s="2" t="s">
        <v>60</v>
      </c>
      <c r="R305" s="6">
        <v>0.40486111111111112</v>
      </c>
      <c r="S305" s="2" t="s">
        <v>108</v>
      </c>
      <c r="T305" s="2" t="s">
        <v>62</v>
      </c>
    </row>
    <row r="306" spans="1:20" ht="22.8" customHeight="1" x14ac:dyDescent="0.3">
      <c r="A306" s="2" t="s">
        <v>1264</v>
      </c>
      <c r="B306" s="2" t="s">
        <v>167</v>
      </c>
      <c r="C306" s="2" t="s">
        <v>168</v>
      </c>
      <c r="D306" s="3">
        <v>46202.732291666667</v>
      </c>
      <c r="E306" s="3">
        <v>46203.528923611113</v>
      </c>
      <c r="F306" s="2" t="s">
        <v>70</v>
      </c>
      <c r="G306" s="2">
        <v>3</v>
      </c>
      <c r="H306" s="2" t="s">
        <v>1265</v>
      </c>
      <c r="I306" s="2"/>
      <c r="J306" s="2"/>
      <c r="K306" s="2" t="s">
        <v>55</v>
      </c>
      <c r="L306" s="2" t="s">
        <v>71</v>
      </c>
      <c r="M306" s="2"/>
      <c r="N306" s="2" t="s">
        <v>71</v>
      </c>
      <c r="O306" s="2" t="s">
        <v>104</v>
      </c>
      <c r="P306" s="2" t="s">
        <v>71</v>
      </c>
      <c r="Q306" s="2" t="s">
        <v>60</v>
      </c>
      <c r="R306" s="6">
        <v>0.23472222222222222</v>
      </c>
      <c r="S306" s="2" t="s">
        <v>61</v>
      </c>
      <c r="T306" s="2" t="s">
        <v>62</v>
      </c>
    </row>
    <row r="307" spans="1:20" ht="22.8" customHeight="1" x14ac:dyDescent="0.3">
      <c r="A307" s="2" t="s">
        <v>1266</v>
      </c>
      <c r="B307" s="2" t="s">
        <v>167</v>
      </c>
      <c r="C307" s="2" t="s">
        <v>168</v>
      </c>
      <c r="D307" s="3">
        <v>46202.741354166668</v>
      </c>
      <c r="E307" s="3">
        <v>46203.528368055559</v>
      </c>
      <c r="F307" s="2" t="s">
        <v>70</v>
      </c>
      <c r="G307" s="2">
        <v>3</v>
      </c>
      <c r="H307" s="2" t="s">
        <v>1267</v>
      </c>
      <c r="I307" s="2"/>
      <c r="J307" s="2"/>
      <c r="K307" s="2" t="s">
        <v>55</v>
      </c>
      <c r="L307" s="2" t="s">
        <v>71</v>
      </c>
      <c r="M307" s="2"/>
      <c r="N307" s="2" t="s">
        <v>71</v>
      </c>
      <c r="O307" s="2" t="s">
        <v>104</v>
      </c>
      <c r="P307" s="2" t="s">
        <v>71</v>
      </c>
      <c r="Q307" s="2" t="s">
        <v>60</v>
      </c>
      <c r="R307" s="6">
        <v>0.22500000000000001</v>
      </c>
      <c r="S307" s="2" t="s">
        <v>61</v>
      </c>
      <c r="T307" s="2" t="s">
        <v>62</v>
      </c>
    </row>
    <row r="308" spans="1:20" ht="22.8" customHeight="1" x14ac:dyDescent="0.3">
      <c r="A308" s="2" t="s">
        <v>1274</v>
      </c>
      <c r="B308" s="2" t="s">
        <v>1269</v>
      </c>
      <c r="C308" s="2" t="s">
        <v>1270</v>
      </c>
      <c r="D308" s="3">
        <v>46203.359884259262</v>
      </c>
      <c r="E308" s="3">
        <v>46203.4062962963</v>
      </c>
      <c r="F308" s="2" t="s">
        <v>56</v>
      </c>
      <c r="G308" s="2">
        <v>3</v>
      </c>
      <c r="H308" s="2" t="s">
        <v>57</v>
      </c>
      <c r="I308" s="4" t="s">
        <v>911</v>
      </c>
      <c r="J308" s="2"/>
      <c r="K308" s="2" t="s">
        <v>76</v>
      </c>
      <c r="L308" s="2" t="s">
        <v>58</v>
      </c>
      <c r="M308" s="2"/>
      <c r="N308" s="2" t="s">
        <v>58</v>
      </c>
      <c r="O308" s="2" t="s">
        <v>59</v>
      </c>
      <c r="P308" s="2" t="s">
        <v>58</v>
      </c>
      <c r="Q308" s="2" t="s">
        <v>60</v>
      </c>
      <c r="R308" s="6">
        <v>4.6527777777777779E-2</v>
      </c>
      <c r="S308" s="2" t="s">
        <v>108</v>
      </c>
      <c r="T308" s="2" t="s">
        <v>62</v>
      </c>
    </row>
    <row r="309" spans="1:20" ht="22.8" customHeight="1" x14ac:dyDescent="0.3">
      <c r="A309" s="2" t="s">
        <v>1275</v>
      </c>
      <c r="B309" s="2" t="s">
        <v>1272</v>
      </c>
      <c r="C309" s="2" t="s">
        <v>1273</v>
      </c>
      <c r="D309" s="3">
        <v>46203.360173611109</v>
      </c>
      <c r="E309" s="3">
        <v>46203.403715277775</v>
      </c>
      <c r="F309" s="2" t="s">
        <v>56</v>
      </c>
      <c r="G309" s="2">
        <v>3</v>
      </c>
      <c r="H309" s="2" t="s">
        <v>57</v>
      </c>
      <c r="I309" s="4" t="s">
        <v>911</v>
      </c>
      <c r="J309" s="2"/>
      <c r="K309" s="2" t="s">
        <v>76</v>
      </c>
      <c r="L309" s="2" t="s">
        <v>58</v>
      </c>
      <c r="M309" s="2"/>
      <c r="N309" s="2" t="s">
        <v>58</v>
      </c>
      <c r="O309" s="2" t="s">
        <v>59</v>
      </c>
      <c r="P309" s="2" t="s">
        <v>58</v>
      </c>
      <c r="Q309" s="2" t="s">
        <v>60</v>
      </c>
      <c r="R309" s="6">
        <v>4.3749999999999997E-2</v>
      </c>
      <c r="S309" s="2" t="s">
        <v>108</v>
      </c>
      <c r="T309" s="2" t="s">
        <v>62</v>
      </c>
    </row>
    <row r="310" spans="1:20" ht="22.8" customHeight="1" x14ac:dyDescent="0.3"/>
    <row r="311" spans="1:20" ht="22.8" customHeight="1" x14ac:dyDescent="0.3"/>
    <row r="312" spans="1:20" ht="22.8" customHeight="1" x14ac:dyDescent="0.3"/>
    <row r="313" spans="1:20" ht="22.8" customHeight="1" x14ac:dyDescent="0.3"/>
    <row r="314" spans="1:20" ht="22.8" customHeight="1" x14ac:dyDescent="0.3"/>
    <row r="315" spans="1:20" ht="22.8" customHeight="1" x14ac:dyDescent="0.3"/>
    <row r="316" spans="1:20" ht="22.8" customHeight="1" x14ac:dyDescent="0.3"/>
    <row r="317" spans="1:20" ht="22.8" customHeight="1" x14ac:dyDescent="0.3"/>
    <row r="318" spans="1:20" ht="22.8" customHeight="1" x14ac:dyDescent="0.3"/>
    <row r="319" spans="1:20" ht="22.8" customHeight="1" x14ac:dyDescent="0.3"/>
    <row r="320" spans="1:20" ht="22.8" customHeight="1" x14ac:dyDescent="0.3"/>
    <row r="321" ht="22.8" customHeight="1" x14ac:dyDescent="0.3"/>
    <row r="322" ht="22.8" customHeight="1" x14ac:dyDescent="0.3"/>
    <row r="323" ht="22.8" customHeight="1" x14ac:dyDescent="0.3"/>
    <row r="324" ht="22.8" customHeight="1" x14ac:dyDescent="0.3"/>
    <row r="325" ht="22.8" customHeight="1" x14ac:dyDescent="0.3"/>
  </sheetData>
  <autoFilter ref="A1:T232" xr:uid="{69B2DD59-E780-4202-BD2F-884CBB1FB607}"/>
  <conditionalFormatting sqref="A1:A1048576">
    <cfRule type="duplicateValues" dxfId="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4709-B809-4643-8325-D2305F46B5EE}">
  <dimension ref="A1:J47"/>
  <sheetViews>
    <sheetView workbookViewId="0">
      <selection activeCell="G6" sqref="G6"/>
    </sheetView>
  </sheetViews>
  <sheetFormatPr baseColWidth="10" defaultColWidth="11.6640625" defaultRowHeight="14.4" x14ac:dyDescent="0.3"/>
  <cols>
    <col min="1" max="1" width="11.88671875" bestFit="1" customWidth="1"/>
    <col min="2" max="2" width="15.5546875" bestFit="1" customWidth="1"/>
    <col min="3" max="3" width="27.6640625" bestFit="1" customWidth="1"/>
    <col min="4" max="4" width="17.109375" bestFit="1" customWidth="1"/>
    <col min="5" max="5" width="22.21875" bestFit="1" customWidth="1"/>
    <col min="6" max="6" width="33.77734375" bestFit="1" customWidth="1"/>
    <col min="7" max="7" width="23.5546875" bestFit="1" customWidth="1"/>
    <col min="8" max="8" width="28.33203125" bestFit="1" customWidth="1"/>
    <col min="9" max="9" width="32.33203125" bestFit="1" customWidth="1"/>
    <col min="10" max="10" width="36.88671875" customWidth="1"/>
  </cols>
  <sheetData>
    <row r="1" spans="1:10" x14ac:dyDescent="0.3">
      <c r="A1" s="1" t="s">
        <v>33</v>
      </c>
      <c r="B1" s="1" t="s">
        <v>159</v>
      </c>
      <c r="C1" s="1" t="s">
        <v>48</v>
      </c>
      <c r="D1" s="1" t="s">
        <v>40</v>
      </c>
      <c r="E1" s="1" t="s">
        <v>49</v>
      </c>
      <c r="F1" s="1" t="s">
        <v>41</v>
      </c>
      <c r="G1" s="1" t="s">
        <v>21</v>
      </c>
      <c r="H1" s="1" t="s">
        <v>22</v>
      </c>
      <c r="I1" s="1" t="s">
        <v>23</v>
      </c>
      <c r="J1" s="1" t="s">
        <v>160</v>
      </c>
    </row>
    <row r="2" spans="1:10" x14ac:dyDescent="0.3">
      <c r="A2" s="2" t="s">
        <v>1323</v>
      </c>
      <c r="B2" s="3">
        <v>46041.694293981483</v>
      </c>
      <c r="C2" s="2" t="s">
        <v>119</v>
      </c>
      <c r="D2" s="3">
        <v>46178.503831018519</v>
      </c>
      <c r="E2" s="2" t="s">
        <v>174</v>
      </c>
      <c r="F2" s="2" t="s">
        <v>109</v>
      </c>
      <c r="G2" s="2">
        <v>4</v>
      </c>
      <c r="H2" s="2">
        <v>4</v>
      </c>
      <c r="I2" s="2">
        <v>4</v>
      </c>
      <c r="J2" s="2"/>
    </row>
    <row r="3" spans="1:10" x14ac:dyDescent="0.3">
      <c r="A3" s="2" t="s">
        <v>1359</v>
      </c>
      <c r="B3" s="3">
        <v>46112.619074074071</v>
      </c>
      <c r="C3" s="2" t="s">
        <v>81</v>
      </c>
      <c r="D3" s="3">
        <v>46203.363634259258</v>
      </c>
      <c r="E3" s="2" t="s">
        <v>90</v>
      </c>
      <c r="F3" s="2" t="s">
        <v>77</v>
      </c>
      <c r="G3" s="2">
        <v>5</v>
      </c>
      <c r="H3" s="2">
        <v>5</v>
      </c>
      <c r="I3" s="2">
        <v>5</v>
      </c>
      <c r="J3" s="2"/>
    </row>
    <row r="4" spans="1:10" ht="244.8" x14ac:dyDescent="0.3">
      <c r="A4" s="2" t="s">
        <v>1378</v>
      </c>
      <c r="B4" s="3">
        <v>46127.629976851851</v>
      </c>
      <c r="C4" s="2" t="s">
        <v>78</v>
      </c>
      <c r="D4" s="3">
        <v>46195.476724537039</v>
      </c>
      <c r="E4" s="2" t="s">
        <v>94</v>
      </c>
      <c r="F4" s="2" t="s">
        <v>88</v>
      </c>
      <c r="G4" s="2">
        <v>4</v>
      </c>
      <c r="H4" s="2">
        <v>5</v>
      </c>
      <c r="I4" s="2">
        <v>2</v>
      </c>
      <c r="J4" s="7" t="s">
        <v>1421</v>
      </c>
    </row>
    <row r="5" spans="1:10" x14ac:dyDescent="0.3">
      <c r="A5" s="2" t="s">
        <v>307</v>
      </c>
      <c r="B5" s="3">
        <v>46153.69730324074</v>
      </c>
      <c r="C5" s="2" t="s">
        <v>137</v>
      </c>
      <c r="D5" s="3">
        <v>46182.388518518521</v>
      </c>
      <c r="E5" s="2" t="s">
        <v>151</v>
      </c>
      <c r="F5" s="2" t="s">
        <v>150</v>
      </c>
      <c r="G5" s="2">
        <v>5</v>
      </c>
      <c r="H5" s="2">
        <v>5</v>
      </c>
      <c r="I5" s="2">
        <v>5</v>
      </c>
      <c r="J5" s="2"/>
    </row>
    <row r="6" spans="1:10" x14ac:dyDescent="0.3">
      <c r="A6" s="2" t="s">
        <v>310</v>
      </c>
      <c r="B6" s="3">
        <v>46153.702094907407</v>
      </c>
      <c r="C6" s="2" t="s">
        <v>137</v>
      </c>
      <c r="D6" s="3">
        <v>46182.389756944445</v>
      </c>
      <c r="E6" s="2" t="s">
        <v>151</v>
      </c>
      <c r="F6" s="2" t="s">
        <v>63</v>
      </c>
      <c r="G6" s="2">
        <v>5</v>
      </c>
      <c r="H6" s="2">
        <v>5</v>
      </c>
      <c r="I6" s="2">
        <v>5</v>
      </c>
      <c r="J6" s="2"/>
    </row>
    <row r="7" spans="1:10" x14ac:dyDescent="0.3">
      <c r="A7" s="2" t="s">
        <v>360</v>
      </c>
      <c r="B7" s="3">
        <v>46155.465694444443</v>
      </c>
      <c r="C7" s="2" t="s">
        <v>137</v>
      </c>
      <c r="D7" s="3">
        <v>46182.423495370371</v>
      </c>
      <c r="E7" s="2" t="s">
        <v>151</v>
      </c>
      <c r="F7" s="2" t="s">
        <v>150</v>
      </c>
      <c r="G7" s="2">
        <v>5</v>
      </c>
      <c r="H7" s="2">
        <v>5</v>
      </c>
      <c r="I7" s="2">
        <v>5</v>
      </c>
      <c r="J7" s="2"/>
    </row>
    <row r="8" spans="1:10" x14ac:dyDescent="0.3">
      <c r="A8" s="2" t="s">
        <v>363</v>
      </c>
      <c r="B8" s="3">
        <v>46155.581157407411</v>
      </c>
      <c r="C8" s="2" t="s">
        <v>78</v>
      </c>
      <c r="D8" s="3">
        <v>46175.427037037036</v>
      </c>
      <c r="E8" s="2" t="s">
        <v>103</v>
      </c>
      <c r="F8" s="2" t="s">
        <v>77</v>
      </c>
      <c r="G8" s="2">
        <v>5</v>
      </c>
      <c r="H8" s="2">
        <v>5</v>
      </c>
      <c r="I8" s="2">
        <v>5</v>
      </c>
      <c r="J8" s="2"/>
    </row>
    <row r="9" spans="1:10" x14ac:dyDescent="0.3">
      <c r="A9" s="2" t="s">
        <v>1404</v>
      </c>
      <c r="B9" s="3">
        <v>46161.527557870373</v>
      </c>
      <c r="C9" s="2" t="s">
        <v>81</v>
      </c>
      <c r="D9" s="3">
        <v>46184.66138888889</v>
      </c>
      <c r="E9" s="2" t="s">
        <v>89</v>
      </c>
      <c r="F9" s="2" t="s">
        <v>88</v>
      </c>
      <c r="G9" s="2">
        <v>5</v>
      </c>
      <c r="H9" s="2">
        <v>5</v>
      </c>
      <c r="I9" s="2">
        <v>5</v>
      </c>
      <c r="J9" s="2"/>
    </row>
    <row r="10" spans="1:10" x14ac:dyDescent="0.3">
      <c r="A10" s="2" t="s">
        <v>1409</v>
      </c>
      <c r="B10" s="3">
        <v>46162.41133101852</v>
      </c>
      <c r="C10" s="2" t="s">
        <v>78</v>
      </c>
      <c r="D10" s="3">
        <v>46198.392835648148</v>
      </c>
      <c r="E10" s="2" t="s">
        <v>103</v>
      </c>
      <c r="F10" s="2" t="s">
        <v>77</v>
      </c>
      <c r="G10" s="2">
        <v>4</v>
      </c>
      <c r="H10" s="2">
        <v>4</v>
      </c>
      <c r="I10" s="2">
        <v>4</v>
      </c>
      <c r="J10" s="2"/>
    </row>
    <row r="11" spans="1:10" x14ac:dyDescent="0.3">
      <c r="A11" s="2" t="s">
        <v>421</v>
      </c>
      <c r="B11" s="3">
        <v>46163.652291666665</v>
      </c>
      <c r="C11" s="2" t="s">
        <v>78</v>
      </c>
      <c r="D11" s="3">
        <v>46184.397835648146</v>
      </c>
      <c r="E11" s="2" t="s">
        <v>94</v>
      </c>
      <c r="F11" s="2" t="s">
        <v>77</v>
      </c>
      <c r="G11" s="2">
        <v>5</v>
      </c>
      <c r="H11" s="2">
        <v>5</v>
      </c>
      <c r="I11" s="2">
        <v>5</v>
      </c>
      <c r="J11" s="2"/>
    </row>
    <row r="12" spans="1:10" x14ac:dyDescent="0.3">
      <c r="A12" s="2" t="s">
        <v>1412</v>
      </c>
      <c r="B12" s="3">
        <v>46164.391469907408</v>
      </c>
      <c r="C12" s="2" t="s">
        <v>81</v>
      </c>
      <c r="D12" s="3">
        <v>46197.428888888891</v>
      </c>
      <c r="E12" s="2" t="s">
        <v>89</v>
      </c>
      <c r="F12" s="2" t="s">
        <v>176</v>
      </c>
      <c r="G12" s="2">
        <v>5</v>
      </c>
      <c r="H12" s="2">
        <v>5</v>
      </c>
      <c r="I12" s="2">
        <v>5</v>
      </c>
      <c r="J12" s="2"/>
    </row>
    <row r="13" spans="1:10" x14ac:dyDescent="0.3">
      <c r="A13" s="2" t="s">
        <v>434</v>
      </c>
      <c r="B13" s="3">
        <v>46164.660694444443</v>
      </c>
      <c r="C13" s="2" t="s">
        <v>78</v>
      </c>
      <c r="D13" s="3">
        <v>46177.358981481484</v>
      </c>
      <c r="E13" s="2" t="s">
        <v>94</v>
      </c>
      <c r="F13" s="2" t="s">
        <v>88</v>
      </c>
      <c r="G13" s="2">
        <v>5</v>
      </c>
      <c r="H13" s="2">
        <v>5</v>
      </c>
      <c r="I13" s="2">
        <v>5</v>
      </c>
      <c r="J13" s="2"/>
    </row>
    <row r="14" spans="1:10" x14ac:dyDescent="0.3">
      <c r="A14" s="2" t="s">
        <v>441</v>
      </c>
      <c r="B14" s="3">
        <v>46167.428402777776</v>
      </c>
      <c r="C14" s="2" t="s">
        <v>78</v>
      </c>
      <c r="D14" s="3">
        <v>46182.374398148146</v>
      </c>
      <c r="E14" s="2" t="s">
        <v>103</v>
      </c>
      <c r="F14" s="2" t="s">
        <v>77</v>
      </c>
      <c r="G14" s="2">
        <v>4</v>
      </c>
      <c r="H14" s="2">
        <v>4</v>
      </c>
      <c r="I14" s="2">
        <v>4</v>
      </c>
      <c r="J14" s="2"/>
    </row>
    <row r="15" spans="1:10" x14ac:dyDescent="0.3">
      <c r="A15" s="2" t="s">
        <v>452</v>
      </c>
      <c r="B15" s="3">
        <v>46168.595960648148</v>
      </c>
      <c r="C15" s="2" t="s">
        <v>81</v>
      </c>
      <c r="D15" s="3">
        <v>46174.489548611113</v>
      </c>
      <c r="E15" s="2" t="s">
        <v>90</v>
      </c>
      <c r="F15" s="2" t="s">
        <v>282</v>
      </c>
      <c r="G15" s="2">
        <v>5</v>
      </c>
      <c r="H15" s="2">
        <v>5</v>
      </c>
      <c r="I15" s="2">
        <v>5</v>
      </c>
      <c r="J15" s="2"/>
    </row>
    <row r="16" spans="1:10" x14ac:dyDescent="0.3">
      <c r="A16" s="2" t="s">
        <v>518</v>
      </c>
      <c r="B16" s="3">
        <v>46174.673067129632</v>
      </c>
      <c r="C16" s="2" t="s">
        <v>78</v>
      </c>
      <c r="D16" s="3">
        <v>46202.449548611112</v>
      </c>
      <c r="E16" s="2" t="s">
        <v>103</v>
      </c>
      <c r="F16" s="2" t="s">
        <v>99</v>
      </c>
      <c r="G16" s="2">
        <v>5</v>
      </c>
      <c r="H16" s="2">
        <v>5</v>
      </c>
      <c r="I16" s="2">
        <v>5</v>
      </c>
      <c r="J16" s="2"/>
    </row>
    <row r="17" spans="1:10" x14ac:dyDescent="0.3">
      <c r="A17" s="2" t="s">
        <v>521</v>
      </c>
      <c r="B17" s="3">
        <v>46174.73636574074</v>
      </c>
      <c r="C17" s="2" t="s">
        <v>78</v>
      </c>
      <c r="D17" s="3">
        <v>46191.455393518518</v>
      </c>
      <c r="E17" s="2" t="s">
        <v>103</v>
      </c>
      <c r="F17" s="2" t="s">
        <v>99</v>
      </c>
      <c r="G17" s="2">
        <v>5</v>
      </c>
      <c r="H17" s="2">
        <v>5</v>
      </c>
      <c r="I17" s="2">
        <v>5</v>
      </c>
      <c r="J17" s="2"/>
    </row>
    <row r="18" spans="1:10" x14ac:dyDescent="0.3">
      <c r="A18" s="2" t="s">
        <v>551</v>
      </c>
      <c r="B18" s="3">
        <v>46175.421006944445</v>
      </c>
      <c r="C18" s="2" t="s">
        <v>78</v>
      </c>
      <c r="D18" s="3">
        <v>46184.400370370371</v>
      </c>
      <c r="E18" s="2" t="s">
        <v>94</v>
      </c>
      <c r="F18" s="2" t="s">
        <v>123</v>
      </c>
      <c r="G18" s="2">
        <v>5</v>
      </c>
      <c r="H18" s="2">
        <v>5</v>
      </c>
      <c r="I18" s="2">
        <v>5</v>
      </c>
      <c r="J18" s="2"/>
    </row>
    <row r="19" spans="1:10" x14ac:dyDescent="0.3">
      <c r="A19" s="2" t="s">
        <v>559</v>
      </c>
      <c r="B19" s="3">
        <v>46175.462708333333</v>
      </c>
      <c r="C19" s="2" t="s">
        <v>81</v>
      </c>
      <c r="D19" s="3">
        <v>46181.664166666669</v>
      </c>
      <c r="E19" s="2" t="s">
        <v>80</v>
      </c>
      <c r="F19" s="2" t="s">
        <v>93</v>
      </c>
      <c r="G19" s="2">
        <v>5</v>
      </c>
      <c r="H19" s="2">
        <v>5</v>
      </c>
      <c r="I19" s="2">
        <v>5</v>
      </c>
      <c r="J19" s="2"/>
    </row>
    <row r="20" spans="1:10" x14ac:dyDescent="0.3">
      <c r="A20" s="2" t="s">
        <v>564</v>
      </c>
      <c r="B20" s="3">
        <v>46175.464918981481</v>
      </c>
      <c r="C20" s="2" t="s">
        <v>81</v>
      </c>
      <c r="D20" s="3">
        <v>46181.663611111115</v>
      </c>
      <c r="E20" s="2" t="s">
        <v>80</v>
      </c>
      <c r="F20" s="2" t="s">
        <v>93</v>
      </c>
      <c r="G20" s="2">
        <v>4</v>
      </c>
      <c r="H20" s="2">
        <v>4</v>
      </c>
      <c r="I20" s="2">
        <v>4</v>
      </c>
      <c r="J20" s="2"/>
    </row>
    <row r="21" spans="1:10" x14ac:dyDescent="0.3">
      <c r="A21" s="2" t="s">
        <v>601</v>
      </c>
      <c r="B21" s="3">
        <v>46176.450706018521</v>
      </c>
      <c r="C21" s="2" t="s">
        <v>119</v>
      </c>
      <c r="D21" s="3">
        <v>46176.594895833332</v>
      </c>
      <c r="E21" s="2" t="s">
        <v>111</v>
      </c>
      <c r="F21" s="2" t="s">
        <v>109</v>
      </c>
      <c r="G21" s="2">
        <v>5</v>
      </c>
      <c r="H21" s="2">
        <v>5</v>
      </c>
      <c r="I21" s="2">
        <v>5</v>
      </c>
      <c r="J21" s="2"/>
    </row>
    <row r="22" spans="1:10" x14ac:dyDescent="0.3">
      <c r="A22" s="2" t="s">
        <v>610</v>
      </c>
      <c r="B22" s="3">
        <v>46176.466180555559</v>
      </c>
      <c r="C22" s="2" t="s">
        <v>137</v>
      </c>
      <c r="D22" s="3">
        <v>46177.37096064815</v>
      </c>
      <c r="E22" s="2" t="s">
        <v>151</v>
      </c>
      <c r="F22" s="2" t="s">
        <v>150</v>
      </c>
      <c r="G22" s="2">
        <v>5</v>
      </c>
      <c r="H22" s="2">
        <v>5</v>
      </c>
      <c r="I22" s="2">
        <v>5</v>
      </c>
      <c r="J22" s="2"/>
    </row>
    <row r="23" spans="1:10" x14ac:dyDescent="0.3">
      <c r="A23" s="2" t="s">
        <v>615</v>
      </c>
      <c r="B23" s="3">
        <v>46176.468842592592</v>
      </c>
      <c r="C23" s="2" t="s">
        <v>78</v>
      </c>
      <c r="D23" s="3">
        <v>46198.387858796297</v>
      </c>
      <c r="E23" s="2" t="s">
        <v>103</v>
      </c>
      <c r="F23" s="2" t="s">
        <v>118</v>
      </c>
      <c r="G23" s="2">
        <v>5</v>
      </c>
      <c r="H23" s="2">
        <v>5</v>
      </c>
      <c r="I23" s="2">
        <v>5</v>
      </c>
      <c r="J23" s="2"/>
    </row>
    <row r="24" spans="1:10" x14ac:dyDescent="0.3">
      <c r="A24" s="2" t="s">
        <v>668</v>
      </c>
      <c r="B24" s="3">
        <v>46177.658518518518</v>
      </c>
      <c r="C24" s="2" t="s">
        <v>78</v>
      </c>
      <c r="D24" s="3">
        <v>46182.370833333334</v>
      </c>
      <c r="E24" s="2" t="s">
        <v>94</v>
      </c>
      <c r="F24" s="2" t="s">
        <v>77</v>
      </c>
      <c r="G24" s="2">
        <v>5</v>
      </c>
      <c r="H24" s="2">
        <v>5</v>
      </c>
      <c r="I24" s="2">
        <v>5</v>
      </c>
      <c r="J24" s="2"/>
    </row>
    <row r="25" spans="1:10" x14ac:dyDescent="0.3">
      <c r="A25" s="2" t="s">
        <v>679</v>
      </c>
      <c r="B25" s="3">
        <v>46178.368576388886</v>
      </c>
      <c r="C25" s="2" t="s">
        <v>81</v>
      </c>
      <c r="D25" s="3">
        <v>46184.653981481482</v>
      </c>
      <c r="E25" s="2" t="s">
        <v>89</v>
      </c>
      <c r="F25" s="2" t="s">
        <v>88</v>
      </c>
      <c r="G25" s="2">
        <v>5</v>
      </c>
      <c r="H25" s="2">
        <v>5</v>
      </c>
      <c r="I25" s="2">
        <v>5</v>
      </c>
      <c r="J25" s="2"/>
    </row>
    <row r="26" spans="1:10" x14ac:dyDescent="0.3">
      <c r="A26" s="2" t="s">
        <v>695</v>
      </c>
      <c r="B26" s="3">
        <v>46178.469652777778</v>
      </c>
      <c r="C26" s="2" t="s">
        <v>78</v>
      </c>
      <c r="D26" s="3">
        <v>46182.370115740741</v>
      </c>
      <c r="E26" s="2" t="s">
        <v>94</v>
      </c>
      <c r="F26" s="2" t="s">
        <v>99</v>
      </c>
      <c r="G26" s="2">
        <v>5</v>
      </c>
      <c r="H26" s="2">
        <v>5</v>
      </c>
      <c r="I26" s="2">
        <v>5</v>
      </c>
      <c r="J26" s="2"/>
    </row>
    <row r="27" spans="1:10" x14ac:dyDescent="0.3">
      <c r="A27" s="2" t="s">
        <v>698</v>
      </c>
      <c r="B27" s="3">
        <v>46178.471053240741</v>
      </c>
      <c r="C27" s="2" t="s">
        <v>78</v>
      </c>
      <c r="D27" s="3">
        <v>46197.41101851852</v>
      </c>
      <c r="E27" s="2" t="s">
        <v>94</v>
      </c>
      <c r="F27" s="2" t="s">
        <v>123</v>
      </c>
      <c r="G27" s="2">
        <v>5</v>
      </c>
      <c r="H27" s="2">
        <v>5</v>
      </c>
      <c r="I27" s="2">
        <v>5</v>
      </c>
      <c r="J27" s="2"/>
    </row>
    <row r="28" spans="1:10" x14ac:dyDescent="0.3">
      <c r="A28" s="2" t="s">
        <v>743</v>
      </c>
      <c r="B28" s="3">
        <v>46181.472025462965</v>
      </c>
      <c r="C28" s="2" t="s">
        <v>78</v>
      </c>
      <c r="D28" s="3">
        <v>46196.430405092593</v>
      </c>
      <c r="E28" s="2" t="s">
        <v>103</v>
      </c>
      <c r="F28" s="2" t="s">
        <v>99</v>
      </c>
      <c r="G28" s="2">
        <v>4</v>
      </c>
      <c r="H28" s="2">
        <v>4</v>
      </c>
      <c r="I28" s="2">
        <v>4</v>
      </c>
      <c r="J28" s="2"/>
    </row>
    <row r="29" spans="1:10" x14ac:dyDescent="0.3">
      <c r="A29" s="2" t="s">
        <v>808</v>
      </c>
      <c r="B29" s="3">
        <v>46182.685185185182</v>
      </c>
      <c r="C29" s="2" t="s">
        <v>78</v>
      </c>
      <c r="D29" s="3">
        <v>46183.569988425923</v>
      </c>
      <c r="E29" s="2" t="s">
        <v>94</v>
      </c>
      <c r="F29" s="2" t="s">
        <v>88</v>
      </c>
      <c r="G29" s="2">
        <v>5</v>
      </c>
      <c r="H29" s="2">
        <v>5</v>
      </c>
      <c r="I29" s="2">
        <v>5</v>
      </c>
      <c r="J29" s="2"/>
    </row>
    <row r="30" spans="1:10" x14ac:dyDescent="0.3">
      <c r="A30" s="2" t="s">
        <v>819</v>
      </c>
      <c r="B30" s="3">
        <v>46183.379201388889</v>
      </c>
      <c r="C30" s="2" t="s">
        <v>78</v>
      </c>
      <c r="D30" s="3">
        <v>46185.592164351852</v>
      </c>
      <c r="E30" s="2" t="s">
        <v>94</v>
      </c>
      <c r="F30" s="2" t="s">
        <v>88</v>
      </c>
      <c r="G30" s="2">
        <v>5</v>
      </c>
      <c r="H30" s="2">
        <v>5</v>
      </c>
      <c r="I30" s="2">
        <v>5</v>
      </c>
      <c r="J30" s="2"/>
    </row>
    <row r="31" spans="1:10" x14ac:dyDescent="0.3">
      <c r="A31" s="2" t="s">
        <v>899</v>
      </c>
      <c r="B31" s="3">
        <v>46184.352280092593</v>
      </c>
      <c r="C31" s="2" t="s">
        <v>78</v>
      </c>
      <c r="D31" s="3">
        <v>46197.412291666667</v>
      </c>
      <c r="E31" s="2" t="s">
        <v>94</v>
      </c>
      <c r="F31" s="2" t="s">
        <v>77</v>
      </c>
      <c r="G31" s="2">
        <v>4</v>
      </c>
      <c r="H31" s="2">
        <v>4</v>
      </c>
      <c r="I31" s="2">
        <v>4</v>
      </c>
      <c r="J31" s="2"/>
    </row>
    <row r="32" spans="1:10" x14ac:dyDescent="0.3">
      <c r="A32" s="2" t="s">
        <v>938</v>
      </c>
      <c r="B32" s="3">
        <v>46185.44568287037</v>
      </c>
      <c r="C32" s="2" t="s">
        <v>91</v>
      </c>
      <c r="D32" s="3">
        <v>46185.505393518521</v>
      </c>
      <c r="E32" s="2" t="s">
        <v>138</v>
      </c>
      <c r="F32" s="2" t="s">
        <v>939</v>
      </c>
      <c r="G32" s="2">
        <v>5</v>
      </c>
      <c r="H32" s="2">
        <v>5</v>
      </c>
      <c r="I32" s="2">
        <v>5</v>
      </c>
      <c r="J32" s="2"/>
    </row>
    <row r="33" spans="1:10" x14ac:dyDescent="0.3">
      <c r="A33" s="2" t="s">
        <v>953</v>
      </c>
      <c r="B33" s="3">
        <v>46185.501296296294</v>
      </c>
      <c r="C33" s="2" t="s">
        <v>81</v>
      </c>
      <c r="D33" s="3">
        <v>46197.454201388886</v>
      </c>
      <c r="E33" s="2" t="s">
        <v>89</v>
      </c>
      <c r="F33" s="2" t="s">
        <v>176</v>
      </c>
      <c r="G33" s="2">
        <v>4</v>
      </c>
      <c r="H33" s="2">
        <v>4</v>
      </c>
      <c r="I33" s="2">
        <v>4</v>
      </c>
      <c r="J33" s="2"/>
    </row>
    <row r="34" spans="1:10" x14ac:dyDescent="0.3">
      <c r="A34" s="2" t="s">
        <v>987</v>
      </c>
      <c r="B34" s="3">
        <v>46188.416006944448</v>
      </c>
      <c r="C34" s="2" t="s">
        <v>137</v>
      </c>
      <c r="D34" s="3">
        <v>46188.490312499998</v>
      </c>
      <c r="E34" s="2" t="s">
        <v>138</v>
      </c>
      <c r="F34" s="2" t="s">
        <v>95</v>
      </c>
      <c r="G34" s="2">
        <v>5</v>
      </c>
      <c r="H34" s="2">
        <v>5</v>
      </c>
      <c r="I34" s="2">
        <v>5</v>
      </c>
      <c r="J34" s="2"/>
    </row>
    <row r="35" spans="1:10" x14ac:dyDescent="0.3">
      <c r="A35" s="2" t="s">
        <v>1021</v>
      </c>
      <c r="B35" s="3">
        <v>46188.63652777778</v>
      </c>
      <c r="C35" s="2" t="s">
        <v>81</v>
      </c>
      <c r="D35" s="3">
        <v>46190.597627314812</v>
      </c>
      <c r="E35" s="2" t="s">
        <v>89</v>
      </c>
      <c r="F35" s="2" t="s">
        <v>77</v>
      </c>
      <c r="G35" s="2">
        <v>5</v>
      </c>
      <c r="H35" s="2">
        <v>5</v>
      </c>
      <c r="I35" s="2">
        <v>5</v>
      </c>
      <c r="J35" s="2"/>
    </row>
    <row r="36" spans="1:10" x14ac:dyDescent="0.3">
      <c r="A36" s="2" t="s">
        <v>1037</v>
      </c>
      <c r="B36" s="3">
        <v>46190.392013888886</v>
      </c>
      <c r="C36" s="2" t="s">
        <v>81</v>
      </c>
      <c r="D36" s="3">
        <v>46198.679224537038</v>
      </c>
      <c r="E36" s="2" t="s">
        <v>90</v>
      </c>
      <c r="F36" s="2" t="s">
        <v>88</v>
      </c>
      <c r="G36" s="2">
        <v>5</v>
      </c>
      <c r="H36" s="2">
        <v>5</v>
      </c>
      <c r="I36" s="2">
        <v>5</v>
      </c>
      <c r="J36" s="2"/>
    </row>
    <row r="37" spans="1:10" x14ac:dyDescent="0.3">
      <c r="A37" s="2" t="s">
        <v>1042</v>
      </c>
      <c r="B37" s="3">
        <v>46190.403854166667</v>
      </c>
      <c r="C37" s="2" t="s">
        <v>78</v>
      </c>
      <c r="D37" s="3">
        <v>46198.415138888886</v>
      </c>
      <c r="E37" s="2" t="s">
        <v>94</v>
      </c>
      <c r="F37" s="2" t="s">
        <v>77</v>
      </c>
      <c r="G37" s="2">
        <v>5</v>
      </c>
      <c r="H37" s="2">
        <v>5</v>
      </c>
      <c r="I37" s="2">
        <v>5</v>
      </c>
      <c r="J37" s="2"/>
    </row>
    <row r="38" spans="1:10" x14ac:dyDescent="0.3">
      <c r="A38" s="2" t="s">
        <v>1057</v>
      </c>
      <c r="B38" s="3">
        <v>46190.49622685185</v>
      </c>
      <c r="C38" s="2" t="s">
        <v>81</v>
      </c>
      <c r="D38" s="3">
        <v>46196.615891203706</v>
      </c>
      <c r="E38" s="2" t="s">
        <v>90</v>
      </c>
      <c r="F38" s="2" t="s">
        <v>88</v>
      </c>
      <c r="G38" s="2">
        <v>5</v>
      </c>
      <c r="H38" s="2">
        <v>5</v>
      </c>
      <c r="I38" s="2">
        <v>5</v>
      </c>
      <c r="J38" s="2"/>
    </row>
    <row r="39" spans="1:10" x14ac:dyDescent="0.3">
      <c r="A39" s="2" t="s">
        <v>1071</v>
      </c>
      <c r="B39" s="3">
        <v>46190.601307870369</v>
      </c>
      <c r="C39" s="2" t="s">
        <v>81</v>
      </c>
      <c r="D39" s="3">
        <v>46199.387164351851</v>
      </c>
      <c r="E39" s="2" t="s">
        <v>90</v>
      </c>
      <c r="F39" s="2" t="s">
        <v>88</v>
      </c>
      <c r="G39" s="2">
        <v>5</v>
      </c>
      <c r="H39" s="2">
        <v>5</v>
      </c>
      <c r="I39" s="2">
        <v>5</v>
      </c>
      <c r="J39" s="2"/>
    </row>
    <row r="40" spans="1:10" x14ac:dyDescent="0.3">
      <c r="A40" s="2" t="s">
        <v>1098</v>
      </c>
      <c r="B40" s="3">
        <v>46192.40520833333</v>
      </c>
      <c r="C40" s="2" t="s">
        <v>78</v>
      </c>
      <c r="D40" s="3">
        <v>46202.453564814816</v>
      </c>
      <c r="E40" s="2" t="s">
        <v>103</v>
      </c>
      <c r="F40" s="2" t="s">
        <v>77</v>
      </c>
      <c r="G40" s="2">
        <v>5</v>
      </c>
      <c r="H40" s="2">
        <v>5</v>
      </c>
      <c r="I40" s="2">
        <v>5</v>
      </c>
      <c r="J40" s="2"/>
    </row>
    <row r="41" spans="1:10" x14ac:dyDescent="0.3">
      <c r="A41" s="2" t="s">
        <v>1102</v>
      </c>
      <c r="B41" s="3">
        <v>46192.522800925923</v>
      </c>
      <c r="C41" s="2" t="s">
        <v>81</v>
      </c>
      <c r="D41" s="3">
        <v>46196.421956018516</v>
      </c>
      <c r="E41" s="2" t="s">
        <v>90</v>
      </c>
      <c r="F41" s="2" t="s">
        <v>77</v>
      </c>
      <c r="G41" s="2">
        <v>5</v>
      </c>
      <c r="H41" s="2">
        <v>5</v>
      </c>
      <c r="I41" s="2">
        <v>5</v>
      </c>
      <c r="J41" s="2"/>
    </row>
    <row r="42" spans="1:10" x14ac:dyDescent="0.3">
      <c r="A42" s="2" t="s">
        <v>1117</v>
      </c>
      <c r="B42" s="3">
        <v>46192.635254629633</v>
      </c>
      <c r="C42" s="2" t="s">
        <v>78</v>
      </c>
      <c r="D42" s="3">
        <v>46202.669942129629</v>
      </c>
      <c r="E42" s="2" t="s">
        <v>103</v>
      </c>
      <c r="F42" s="2" t="s">
        <v>93</v>
      </c>
      <c r="G42" s="2">
        <v>5</v>
      </c>
      <c r="H42" s="2">
        <v>5</v>
      </c>
      <c r="I42" s="2">
        <v>5</v>
      </c>
      <c r="J42" s="2"/>
    </row>
    <row r="43" spans="1:10" x14ac:dyDescent="0.3">
      <c r="A43" s="2" t="s">
        <v>1132</v>
      </c>
      <c r="B43" s="3">
        <v>46192.692569444444</v>
      </c>
      <c r="C43" s="2" t="s">
        <v>91</v>
      </c>
      <c r="D43" s="3">
        <v>46192.69803240741</v>
      </c>
      <c r="E43" s="2" t="s">
        <v>138</v>
      </c>
      <c r="F43" s="2" t="s">
        <v>939</v>
      </c>
      <c r="G43" s="2">
        <v>4</v>
      </c>
      <c r="H43" s="2">
        <v>4</v>
      </c>
      <c r="I43" s="2">
        <v>4</v>
      </c>
      <c r="J43" s="2"/>
    </row>
    <row r="44" spans="1:10" x14ac:dyDescent="0.3">
      <c r="A44" s="2" t="s">
        <v>1153</v>
      </c>
      <c r="B44" s="3">
        <v>46195.604953703703</v>
      </c>
      <c r="C44" s="2" t="s">
        <v>78</v>
      </c>
      <c r="D44" s="3">
        <v>46197.579201388886</v>
      </c>
      <c r="E44" s="2" t="s">
        <v>94</v>
      </c>
      <c r="F44" s="2" t="s">
        <v>77</v>
      </c>
      <c r="G44" s="2">
        <v>5</v>
      </c>
      <c r="H44" s="2">
        <v>5</v>
      </c>
      <c r="I44" s="2">
        <v>5</v>
      </c>
      <c r="J44" s="2"/>
    </row>
    <row r="45" spans="1:10" x14ac:dyDescent="0.3">
      <c r="A45" s="2" t="s">
        <v>1166</v>
      </c>
      <c r="B45" s="3">
        <v>46195.735983796294</v>
      </c>
      <c r="C45" s="2" t="s">
        <v>1025</v>
      </c>
      <c r="D45" s="3">
        <v>46199.476736111108</v>
      </c>
      <c r="E45" s="2" t="s">
        <v>89</v>
      </c>
      <c r="F45" s="2" t="s">
        <v>1169</v>
      </c>
      <c r="G45" s="2">
        <v>5</v>
      </c>
      <c r="H45" s="2">
        <v>5</v>
      </c>
      <c r="I45" s="2">
        <v>5</v>
      </c>
      <c r="J45" s="2"/>
    </row>
    <row r="46" spans="1:10" x14ac:dyDescent="0.3">
      <c r="A46" s="2" t="s">
        <v>1186</v>
      </c>
      <c r="B46" s="3">
        <v>46196.595879629633</v>
      </c>
      <c r="C46" s="2" t="s">
        <v>78</v>
      </c>
      <c r="D46" s="3">
        <v>46202.454629629632</v>
      </c>
      <c r="E46" s="2" t="s">
        <v>103</v>
      </c>
      <c r="F46" s="2" t="s">
        <v>77</v>
      </c>
      <c r="G46" s="2">
        <v>5</v>
      </c>
      <c r="H46" s="2">
        <v>5</v>
      </c>
      <c r="I46" s="2">
        <v>5</v>
      </c>
      <c r="J46" s="2"/>
    </row>
    <row r="47" spans="1:10" x14ac:dyDescent="0.3">
      <c r="A47" s="2" t="s">
        <v>1221</v>
      </c>
      <c r="B47" s="3">
        <v>46198.411550925928</v>
      </c>
      <c r="C47" s="2" t="s">
        <v>78</v>
      </c>
      <c r="D47" s="3">
        <v>46202.453043981484</v>
      </c>
      <c r="E47" s="2" t="s">
        <v>103</v>
      </c>
      <c r="F47" s="2" t="s">
        <v>77</v>
      </c>
      <c r="G47" s="2">
        <v>5</v>
      </c>
      <c r="H47" s="2">
        <v>5</v>
      </c>
      <c r="I47" s="2">
        <v>5</v>
      </c>
      <c r="J47" s="2"/>
    </row>
  </sheetData>
  <autoFilter ref="A1:J47" xr:uid="{14AB4709-B809-4643-8325-D2305F46B5EE}"/>
  <conditionalFormatting sqref="A1:A1048576">
    <cfRule type="duplicateValues" dxfId="1" priority="1"/>
    <cfRule type="duplicateValues" dxfId="0" priority="2"/>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974EB9BE4A774891E0D6E072A8F527" ma:contentTypeVersion="53" ma:contentTypeDescription="Crée un document." ma:contentTypeScope="" ma:versionID="004e693e74fe6748bc336033ca86877f">
  <xsd:schema xmlns:xsd="http://www.w3.org/2001/XMLSchema" xmlns:xs="http://www.w3.org/2001/XMLSchema" xmlns:p="http://schemas.microsoft.com/office/2006/metadata/properties" xmlns:ns2="4af224d8-652d-4f90-a912-c516dbb5365c" xmlns:ns3="ef156968-d935-465b-9cbc-2130bfc8cace" targetNamespace="http://schemas.microsoft.com/office/2006/metadata/properties" ma:root="true" ma:fieldsID="7dcf8d7c526ca5ed5cb99253ba0a9101" ns2:_="" ns3:_="">
    <xsd:import namespace="4af224d8-652d-4f90-a912-c516dbb5365c"/>
    <xsd:import namespace="ef156968-d935-465b-9cbc-2130bfc8cace"/>
    <xsd:element name="properties">
      <xsd:complexType>
        <xsd:sequence>
          <xsd:element name="documentManagement">
            <xsd:complexType>
              <xsd:all>
                <xsd:element ref="ns2:Niveau_x0020_de_x0020_confidentialité"/>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f224d8-652d-4f90-a912-c516dbb5365c" elementFormDefault="qualified">
    <xsd:import namespace="http://schemas.microsoft.com/office/2006/documentManagement/types"/>
    <xsd:import namespace="http://schemas.microsoft.com/office/infopath/2007/PartnerControls"/>
    <xsd:element name="Niveau_x0020_de_x0020_confidentialité" ma:index="8" ma:displayName="Niveau de confidentialité" ma:default="2-Information Interne Sagemcom" ma:format="Dropdown" ma:internalName="Niveau_x0020_de_x0020_confidentialit_x00e9_" ma:readOnly="false">
      <xsd:simpleType>
        <xsd:restriction base="dms:Choice">
          <xsd:enumeration value="1-Libre Sagemcom"/>
          <xsd:enumeration value="2-Information Interne Sagemcom"/>
          <xsd:enumeration value="3-Information Confidentielle Sagemcom"/>
          <xsd:enumeration value="4-Information Hautement Confidentielle Sagemcom"/>
        </xsd:restriction>
      </xsd:simpleType>
    </xsd:element>
  </xsd:schema>
  <xsd:schema xmlns:xsd="http://www.w3.org/2001/XMLSchema" xmlns:xs="http://www.w3.org/2001/XMLSchema" xmlns:dms="http://schemas.microsoft.com/office/2006/documentManagement/types" xmlns:pc="http://schemas.microsoft.com/office/infopath/2007/PartnerControls" targetNamespace="ef156968-d935-465b-9cbc-2130bfc8cace"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description="" ma:hidden="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iveau_x0020_de_x0020_confidentialité xmlns="4af224d8-652d-4f90-a912-c516dbb5365c">2-Information Interne Sagemcom</Niveau_x0020_de_x0020_confidentialité>
  </documentManagement>
</p:properties>
</file>

<file path=customXml/itemProps1.xml><?xml version="1.0" encoding="utf-8"?>
<ds:datastoreItem xmlns:ds="http://schemas.openxmlformats.org/officeDocument/2006/customXml" ds:itemID="{63BA6A86-AAE6-49F0-93D3-AA7FE7EB35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f224d8-652d-4f90-a912-c516dbb5365c"/>
    <ds:schemaRef ds:uri="ef156968-d935-465b-9cbc-2130bfc8ca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833D2A-4D68-4EDE-BF38-8C8410D26680}">
  <ds:schemaRefs>
    <ds:schemaRef ds:uri="http://schemas.microsoft.com/sharepoint/v3/contenttype/forms"/>
  </ds:schemaRefs>
</ds:datastoreItem>
</file>

<file path=customXml/itemProps3.xml><?xml version="1.0" encoding="utf-8"?>
<ds:datastoreItem xmlns:ds="http://schemas.openxmlformats.org/officeDocument/2006/customXml" ds:itemID="{39977B0C-F833-4A2F-A896-401CCC96D294}">
  <ds:schemaRef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4af224d8-652d-4f90-a912-c516dbb5365c"/>
    <ds:schemaRef ds:uri="ef156968-d935-465b-9cbc-2130bfc8cac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TDB</vt:lpstr>
      <vt:lpstr>tickets ouverts</vt:lpstr>
      <vt:lpstr>tickets fermés</vt:lpstr>
      <vt:lpstr>Askit -SST KRM enquête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CHIHAOUI Aymen</dc:creator>
  <cp:keywords/>
  <dc:description/>
  <cp:lastModifiedBy>CHIHAOUI Aymen</cp:lastModifiedBy>
  <cp:revision/>
  <dcterms:created xsi:type="dcterms:W3CDTF">2015-06-05T18:17:20Z</dcterms:created>
  <dcterms:modified xsi:type="dcterms:W3CDTF">2026-07-08T08:33:20Z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0x01010087974EB9BE4A774891E0D6E072A8F527</vt:lpwstr>
  </property>
  <property fmtid="{D5CDD505-2E9C-101B-9397-08002B2CF9AE}" pid="3" name="MSIP_Label_99fdc343-dab6-4a0f-8765-37951aaba2b0_Enabled">
    <vt:lpwstr>true</vt:lpwstr>
  </property>
  <property fmtid="{D5CDD505-2E9C-101B-9397-08002B2CF9AE}" pid="4" name="MSIP_Label_99fdc343-dab6-4a0f-8765-37951aaba2b0_SetDate">
    <vt:lpwstr>2026-07-08T08:33:08Z</vt:lpwstr>
  </property>
  <property fmtid="{D5CDD505-2E9C-101B-9397-08002B2CF9AE}" pid="5" name="MSIP_Label_99fdc343-dab6-4a0f-8765-37951aaba2b0_Method">
    <vt:lpwstr>Privileged</vt:lpwstr>
  </property>
  <property fmtid="{D5CDD505-2E9C-101B-9397-08002B2CF9AE}" pid="6" name="MSIP_Label_99fdc343-dab6-4a0f-8765-37951aaba2b0_Name">
    <vt:lpwstr>C3</vt:lpwstr>
  </property>
  <property fmtid="{D5CDD505-2E9C-101B-9397-08002B2CF9AE}" pid="7" name="MSIP_Label_99fdc343-dab6-4a0f-8765-37951aaba2b0_SiteId">
    <vt:lpwstr>f9ffeb1d-70f1-4c2c-b7e6-d080242df8d3</vt:lpwstr>
  </property>
  <property fmtid="{D5CDD505-2E9C-101B-9397-08002B2CF9AE}" pid="8" name="MSIP_Label_99fdc343-dab6-4a0f-8765-37951aaba2b0_ActionId">
    <vt:lpwstr>43c05abf-7c9d-45b0-89d3-dd7dfb33adb3</vt:lpwstr>
  </property>
  <property fmtid="{D5CDD505-2E9C-101B-9397-08002B2CF9AE}" pid="9" name="MSIP_Label_99fdc343-dab6-4a0f-8765-37951aaba2b0_ContentBits">
    <vt:lpwstr>0</vt:lpwstr>
  </property>
  <property fmtid="{D5CDD505-2E9C-101B-9397-08002B2CF9AE}" pid="10" name="MSIP_Label_99fdc343-dab6-4a0f-8765-37951aaba2b0_Tag">
    <vt:lpwstr>10, 0, 1, 1</vt:lpwstr>
  </property>
</Properties>
</file>